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defaultThemeVersion="124226"/>
  <mc:AlternateContent xmlns:mc="http://schemas.openxmlformats.org/markup-compatibility/2006">
    <mc:Choice Requires="x15">
      <x15ac:absPath xmlns:x15ac="http://schemas.microsoft.com/office/spreadsheetml/2010/11/ac" url="D:\PATRICE\Dev\Repos\EIE\EIEx\EIEx\Données\"/>
    </mc:Choice>
  </mc:AlternateContent>
  <bookViews>
    <workbookView xWindow="3900" yWindow="-150" windowWidth="14400" windowHeight="10610"/>
  </bookViews>
  <sheets>
    <sheet name="CDPGF LOT 11 ELECTRICITE" sheetId="1" r:id="rId1"/>
  </sheets>
  <definedNames>
    <definedName name="Cfour">'CDPGF LOT 11 ELECTRICITE'!#REF!</definedName>
    <definedName name="Cmo">'CDPGF LOT 11 ELECTRICITE'!#REF!</definedName>
    <definedName name="Cst">'CDPGF LOT 11 ELECTRICITE'!#REF!</definedName>
    <definedName name="euro">'CDPGF LOT 11 ELECTRICITE'!#REF!</definedName>
    <definedName name="Excel_BuiltIn_Print_Area_1_1">'CDPGF LOT 11 ELECTRICITE'!$A$11:$F$802</definedName>
    <definedName name="_xlnm.Print_Titles" localSheetId="0">'CDPGF LOT 11 ELECTRICITE'!$12:$12</definedName>
    <definedName name="mo">'CDPGF LOT 11 ELECTRICITE'!#REF!</definedName>
    <definedName name="_xlnm.Print_Area" localSheetId="0">'CDPGF LOT 11 ELECTRICITE'!$A$11:$H$804</definedName>
  </definedNames>
  <calcPr calcId="162913"/>
</workbook>
</file>

<file path=xl/calcChain.xml><?xml version="1.0" encoding="utf-8"?>
<calcChain xmlns="http://schemas.openxmlformats.org/spreadsheetml/2006/main">
  <c r="L799" i="1" l="1"/>
  <c r="K799" i="1"/>
  <c r="F799" i="1"/>
  <c r="E799" i="1"/>
  <c r="L798" i="1"/>
  <c r="K798" i="1"/>
  <c r="F798" i="1"/>
  <c r="E798" i="1"/>
  <c r="L797" i="1"/>
  <c r="K797" i="1"/>
  <c r="F797" i="1"/>
  <c r="E797" i="1"/>
  <c r="L796" i="1"/>
  <c r="K796" i="1"/>
  <c r="F796" i="1"/>
  <c r="E796" i="1"/>
  <c r="L795" i="1"/>
  <c r="K795" i="1"/>
  <c r="F795" i="1"/>
  <c r="E795" i="1"/>
  <c r="L794" i="1"/>
  <c r="K794" i="1"/>
  <c r="F794" i="1"/>
  <c r="E794" i="1"/>
  <c r="L793" i="1"/>
  <c r="K793" i="1"/>
  <c r="F793" i="1"/>
  <c r="E793" i="1"/>
  <c r="L792" i="1"/>
  <c r="K792" i="1"/>
  <c r="F792" i="1"/>
  <c r="E792" i="1"/>
  <c r="L791" i="1"/>
  <c r="K791" i="1"/>
  <c r="F791" i="1"/>
  <c r="E791" i="1"/>
  <c r="L790" i="1"/>
  <c r="K790" i="1"/>
  <c r="F790" i="1"/>
  <c r="E790" i="1"/>
  <c r="L786" i="1"/>
  <c r="K786" i="1"/>
  <c r="E786" i="1"/>
  <c r="F786" i="1" s="1"/>
  <c r="L785" i="1"/>
  <c r="K785" i="1"/>
  <c r="F785" i="1"/>
  <c r="E785" i="1"/>
  <c r="L784" i="1"/>
  <c r="K784" i="1"/>
  <c r="F784" i="1"/>
  <c r="E784" i="1"/>
  <c r="L783" i="1"/>
  <c r="K783" i="1"/>
  <c r="F783" i="1"/>
  <c r="E783" i="1"/>
  <c r="L782" i="1"/>
  <c r="K782" i="1"/>
  <c r="F782" i="1"/>
  <c r="E782" i="1"/>
  <c r="L781" i="1"/>
  <c r="K781" i="1"/>
  <c r="F781" i="1"/>
  <c r="E781" i="1"/>
  <c r="L780" i="1"/>
  <c r="K780" i="1"/>
  <c r="F780" i="1"/>
  <c r="E780" i="1"/>
  <c r="L779" i="1"/>
  <c r="K779" i="1"/>
  <c r="F779" i="1"/>
  <c r="E779" i="1"/>
  <c r="L778" i="1"/>
  <c r="K778" i="1"/>
  <c r="F778" i="1"/>
  <c r="E778" i="1"/>
  <c r="L777" i="1"/>
  <c r="K777" i="1"/>
  <c r="F777" i="1"/>
  <c r="E777" i="1"/>
  <c r="L776" i="1"/>
  <c r="K776" i="1"/>
  <c r="F776" i="1"/>
  <c r="E776" i="1"/>
  <c r="L775" i="1"/>
  <c r="K775" i="1"/>
  <c r="F775" i="1"/>
  <c r="E775" i="1"/>
  <c r="L774" i="1"/>
  <c r="K774" i="1"/>
  <c r="F774" i="1"/>
  <c r="E774" i="1"/>
  <c r="L773" i="1"/>
  <c r="K773" i="1"/>
  <c r="F773" i="1"/>
  <c r="E773" i="1"/>
  <c r="L772" i="1"/>
  <c r="K772" i="1"/>
  <c r="F772" i="1"/>
  <c r="E772" i="1"/>
  <c r="L771" i="1"/>
  <c r="K771" i="1"/>
  <c r="F771" i="1"/>
  <c r="E771" i="1"/>
  <c r="L770" i="1"/>
  <c r="K770" i="1"/>
  <c r="F770" i="1"/>
  <c r="E770" i="1"/>
  <c r="L769" i="1"/>
  <c r="K769" i="1"/>
  <c r="F769" i="1"/>
  <c r="E769" i="1"/>
  <c r="L768" i="1"/>
  <c r="K768" i="1"/>
  <c r="F768" i="1"/>
  <c r="E768" i="1"/>
  <c r="L767" i="1"/>
  <c r="K767" i="1"/>
  <c r="F767" i="1"/>
  <c r="E767" i="1"/>
  <c r="L766" i="1"/>
  <c r="K766" i="1"/>
  <c r="F766" i="1"/>
  <c r="E766" i="1"/>
  <c r="L765" i="1"/>
  <c r="K765" i="1"/>
  <c r="F765" i="1"/>
  <c r="E765" i="1"/>
  <c r="L764" i="1"/>
  <c r="K764" i="1"/>
  <c r="F764" i="1"/>
  <c r="E764" i="1"/>
  <c r="L763" i="1"/>
  <c r="K763" i="1"/>
  <c r="F763" i="1"/>
  <c r="E763" i="1"/>
  <c r="L762" i="1"/>
  <c r="K762" i="1"/>
  <c r="F762" i="1"/>
  <c r="E762" i="1"/>
  <c r="L761" i="1"/>
  <c r="K761" i="1"/>
  <c r="F761" i="1"/>
  <c r="E761" i="1"/>
  <c r="L760" i="1"/>
  <c r="K760" i="1"/>
  <c r="F760" i="1"/>
  <c r="E760" i="1"/>
  <c r="L759" i="1"/>
  <c r="K759" i="1"/>
  <c r="F759" i="1"/>
  <c r="E759" i="1"/>
  <c r="L758" i="1"/>
  <c r="K758" i="1"/>
  <c r="F758" i="1"/>
  <c r="E758" i="1"/>
  <c r="L757" i="1"/>
  <c r="K757" i="1"/>
  <c r="F757" i="1"/>
  <c r="E757" i="1"/>
  <c r="L756" i="1"/>
  <c r="K756" i="1"/>
  <c r="F756" i="1"/>
  <c r="E756" i="1"/>
  <c r="L755" i="1"/>
  <c r="K755" i="1"/>
  <c r="F755" i="1"/>
  <c r="E755" i="1"/>
  <c r="L754" i="1"/>
  <c r="K754" i="1"/>
  <c r="F754" i="1"/>
  <c r="E754" i="1"/>
  <c r="L753" i="1"/>
  <c r="K753" i="1"/>
  <c r="F753" i="1"/>
  <c r="E753" i="1"/>
  <c r="L752" i="1"/>
  <c r="K752" i="1"/>
  <c r="F752" i="1"/>
  <c r="E752" i="1"/>
  <c r="L751" i="1"/>
  <c r="K751" i="1"/>
  <c r="F751" i="1"/>
  <c r="E751" i="1"/>
  <c r="L750" i="1"/>
  <c r="K750" i="1"/>
  <c r="F750" i="1"/>
  <c r="E750" i="1"/>
  <c r="L749" i="1"/>
  <c r="K749" i="1"/>
  <c r="F749" i="1"/>
  <c r="E749" i="1"/>
  <c r="L748" i="1"/>
  <c r="K748" i="1"/>
  <c r="F748" i="1"/>
  <c r="E748" i="1"/>
  <c r="L747" i="1"/>
  <c r="K747" i="1"/>
  <c r="F747" i="1"/>
  <c r="E747" i="1"/>
  <c r="L746" i="1"/>
  <c r="K746" i="1"/>
  <c r="F746" i="1"/>
  <c r="E746" i="1"/>
  <c r="L745" i="1"/>
  <c r="K745" i="1"/>
  <c r="F745" i="1"/>
  <c r="E745" i="1"/>
  <c r="L744" i="1"/>
  <c r="K744" i="1"/>
  <c r="F744" i="1"/>
  <c r="E744" i="1"/>
  <c r="L743" i="1"/>
  <c r="K743" i="1"/>
  <c r="F743" i="1"/>
  <c r="E743" i="1"/>
  <c r="L742" i="1"/>
  <c r="K742" i="1"/>
  <c r="F742" i="1"/>
  <c r="E742" i="1"/>
  <c r="L741" i="1"/>
  <c r="K741" i="1"/>
  <c r="F741" i="1"/>
  <c r="E741" i="1"/>
  <c r="L740" i="1"/>
  <c r="K740" i="1"/>
  <c r="F740" i="1"/>
  <c r="E740" i="1"/>
  <c r="L739" i="1"/>
  <c r="K739" i="1"/>
  <c r="F739" i="1"/>
  <c r="E739" i="1"/>
  <c r="L738" i="1"/>
  <c r="K738" i="1"/>
  <c r="F738" i="1"/>
  <c r="E738" i="1"/>
  <c r="L737" i="1"/>
  <c r="K737" i="1"/>
  <c r="F737" i="1"/>
  <c r="E737" i="1"/>
  <c r="L736" i="1"/>
  <c r="K736" i="1"/>
  <c r="F736" i="1"/>
  <c r="E736" i="1"/>
  <c r="L735" i="1"/>
  <c r="K735" i="1"/>
  <c r="F735" i="1"/>
  <c r="E735" i="1"/>
  <c r="L734" i="1"/>
  <c r="K734" i="1"/>
  <c r="F734" i="1"/>
  <c r="E734" i="1"/>
  <c r="L733" i="1"/>
  <c r="K733" i="1"/>
  <c r="F733" i="1"/>
  <c r="E733" i="1"/>
  <c r="L732" i="1"/>
  <c r="K732" i="1"/>
  <c r="F732" i="1"/>
  <c r="E732" i="1"/>
  <c r="L731" i="1"/>
  <c r="K731" i="1"/>
  <c r="F731" i="1"/>
  <c r="E731" i="1"/>
  <c r="L730" i="1"/>
  <c r="K730" i="1"/>
  <c r="F730" i="1"/>
  <c r="E730" i="1"/>
  <c r="L729" i="1"/>
  <c r="K729" i="1"/>
  <c r="F729" i="1"/>
  <c r="E729" i="1"/>
  <c r="L728" i="1"/>
  <c r="K728" i="1"/>
  <c r="F728" i="1"/>
  <c r="E728" i="1"/>
  <c r="L727" i="1"/>
  <c r="K727" i="1"/>
  <c r="F727" i="1"/>
  <c r="E727" i="1"/>
  <c r="L726" i="1"/>
  <c r="K726" i="1"/>
  <c r="F726" i="1"/>
  <c r="E726" i="1"/>
  <c r="L725" i="1"/>
  <c r="K725" i="1"/>
  <c r="F725" i="1"/>
  <c r="E725" i="1"/>
  <c r="L724" i="1"/>
  <c r="K724" i="1"/>
  <c r="F724" i="1"/>
  <c r="E724" i="1"/>
  <c r="L723" i="1"/>
  <c r="K723" i="1"/>
  <c r="F723" i="1"/>
  <c r="E723" i="1"/>
  <c r="L722" i="1"/>
  <c r="K722" i="1"/>
  <c r="F722" i="1"/>
  <c r="E722" i="1"/>
  <c r="L721" i="1"/>
  <c r="K721" i="1"/>
  <c r="F721" i="1"/>
  <c r="E721" i="1"/>
  <c r="L720" i="1"/>
  <c r="K720" i="1"/>
  <c r="F720" i="1"/>
  <c r="E720" i="1"/>
  <c r="L719" i="1"/>
  <c r="K719" i="1"/>
  <c r="F719" i="1"/>
  <c r="E719" i="1"/>
  <c r="L718" i="1"/>
  <c r="K718" i="1"/>
  <c r="F718" i="1"/>
  <c r="E718" i="1"/>
  <c r="L717" i="1"/>
  <c r="K717" i="1"/>
  <c r="F717" i="1"/>
  <c r="E717" i="1"/>
  <c r="L716" i="1"/>
  <c r="K716" i="1"/>
  <c r="F716" i="1"/>
  <c r="E716" i="1"/>
  <c r="L715" i="1"/>
  <c r="K715" i="1"/>
  <c r="F715" i="1"/>
  <c r="E715" i="1"/>
  <c r="L714" i="1"/>
  <c r="K714" i="1"/>
  <c r="F714" i="1"/>
  <c r="E714" i="1"/>
  <c r="L713" i="1"/>
  <c r="K713" i="1"/>
  <c r="F713" i="1"/>
  <c r="E713" i="1"/>
  <c r="L712" i="1"/>
  <c r="K712" i="1"/>
  <c r="F712" i="1"/>
  <c r="E712" i="1"/>
  <c r="L711" i="1"/>
  <c r="K711" i="1"/>
  <c r="F711" i="1"/>
  <c r="E711" i="1"/>
  <c r="L710" i="1"/>
  <c r="K710" i="1"/>
  <c r="F710" i="1"/>
  <c r="E710" i="1"/>
  <c r="L709" i="1"/>
  <c r="K709" i="1"/>
  <c r="F709" i="1"/>
  <c r="E709" i="1"/>
  <c r="L708" i="1"/>
  <c r="K708" i="1"/>
  <c r="F708" i="1"/>
  <c r="E708" i="1"/>
  <c r="L707" i="1"/>
  <c r="K707" i="1"/>
  <c r="F707" i="1"/>
  <c r="E707" i="1"/>
  <c r="L706" i="1"/>
  <c r="K706" i="1"/>
  <c r="F706" i="1"/>
  <c r="E706" i="1"/>
  <c r="L705" i="1"/>
  <c r="K705" i="1"/>
  <c r="F705" i="1"/>
  <c r="E705" i="1"/>
  <c r="L704" i="1"/>
  <c r="K704" i="1"/>
  <c r="F704" i="1"/>
  <c r="E704" i="1"/>
  <c r="L703" i="1"/>
  <c r="K703" i="1"/>
  <c r="F703" i="1"/>
  <c r="E703" i="1"/>
  <c r="L702" i="1"/>
  <c r="K702" i="1"/>
  <c r="F702" i="1"/>
  <c r="E702" i="1"/>
  <c r="L701" i="1"/>
  <c r="K701" i="1"/>
  <c r="F701" i="1"/>
  <c r="E701" i="1"/>
  <c r="L700" i="1"/>
  <c r="K700" i="1"/>
  <c r="F700" i="1"/>
  <c r="E700" i="1"/>
  <c r="L699" i="1"/>
  <c r="K699" i="1"/>
  <c r="F699" i="1"/>
  <c r="E699" i="1"/>
  <c r="L698" i="1"/>
  <c r="K698" i="1"/>
  <c r="F698" i="1"/>
  <c r="E698" i="1"/>
  <c r="L697" i="1"/>
  <c r="K697" i="1"/>
  <c r="F697" i="1"/>
  <c r="E697" i="1"/>
  <c r="L696" i="1"/>
  <c r="K696" i="1"/>
  <c r="F696" i="1"/>
  <c r="E696" i="1"/>
  <c r="L695" i="1"/>
  <c r="K695" i="1"/>
  <c r="F695" i="1"/>
  <c r="E695" i="1"/>
  <c r="L694" i="1"/>
  <c r="K694" i="1"/>
  <c r="F694" i="1"/>
  <c r="E694" i="1"/>
  <c r="L693" i="1"/>
  <c r="K693" i="1"/>
  <c r="F693" i="1"/>
  <c r="E693" i="1"/>
  <c r="L692" i="1"/>
  <c r="K692" i="1"/>
  <c r="F692" i="1"/>
  <c r="E692" i="1"/>
  <c r="L691" i="1"/>
  <c r="K691" i="1"/>
  <c r="F691" i="1"/>
  <c r="E691" i="1"/>
  <c r="L690" i="1"/>
  <c r="K690" i="1"/>
  <c r="F690" i="1"/>
  <c r="E690" i="1"/>
  <c r="L689" i="1"/>
  <c r="K689" i="1"/>
  <c r="F689" i="1"/>
  <c r="E689" i="1"/>
  <c r="L688" i="1"/>
  <c r="K688" i="1"/>
  <c r="F688" i="1"/>
  <c r="E688" i="1"/>
  <c r="L687" i="1"/>
  <c r="K687" i="1"/>
  <c r="F687" i="1"/>
  <c r="E687" i="1"/>
  <c r="L686" i="1"/>
  <c r="K686" i="1"/>
  <c r="F686" i="1"/>
  <c r="E686" i="1"/>
  <c r="L685" i="1"/>
  <c r="K685" i="1"/>
  <c r="F685" i="1"/>
  <c r="E685" i="1"/>
  <c r="L684" i="1"/>
  <c r="K684" i="1"/>
  <c r="F684" i="1"/>
  <c r="E684" i="1"/>
  <c r="L683" i="1"/>
  <c r="K683" i="1"/>
  <c r="F683" i="1"/>
  <c r="E683" i="1"/>
  <c r="L682" i="1"/>
  <c r="K682" i="1"/>
  <c r="F682" i="1"/>
  <c r="E682" i="1"/>
  <c r="L681" i="1"/>
  <c r="K681" i="1"/>
  <c r="F681" i="1"/>
  <c r="E681" i="1"/>
  <c r="L680" i="1"/>
  <c r="K680" i="1"/>
  <c r="F680" i="1"/>
  <c r="E680" i="1"/>
  <c r="L679" i="1"/>
  <c r="K679" i="1"/>
  <c r="F679" i="1"/>
  <c r="E679" i="1"/>
  <c r="L678" i="1"/>
  <c r="K678" i="1"/>
  <c r="F678" i="1"/>
  <c r="E678" i="1"/>
  <c r="L677" i="1"/>
  <c r="K677" i="1"/>
  <c r="F677" i="1"/>
  <c r="E677" i="1"/>
  <c r="L676" i="1"/>
  <c r="K676" i="1"/>
  <c r="F676" i="1"/>
  <c r="E676" i="1"/>
  <c r="L675" i="1"/>
  <c r="K675" i="1"/>
  <c r="F675" i="1"/>
  <c r="E675" i="1"/>
  <c r="L674" i="1"/>
  <c r="K674" i="1"/>
  <c r="F674" i="1"/>
  <c r="E674" i="1"/>
  <c r="L673" i="1"/>
  <c r="K673" i="1"/>
  <c r="F673" i="1"/>
  <c r="E673" i="1"/>
  <c r="L672" i="1"/>
  <c r="K672" i="1"/>
  <c r="F672" i="1"/>
  <c r="E672" i="1"/>
  <c r="L671" i="1"/>
  <c r="K671" i="1"/>
  <c r="F671" i="1"/>
  <c r="E671" i="1"/>
  <c r="L670" i="1"/>
  <c r="K670" i="1"/>
  <c r="F670" i="1"/>
  <c r="E670" i="1"/>
  <c r="L669" i="1"/>
  <c r="K669" i="1"/>
  <c r="F669" i="1"/>
  <c r="E669" i="1"/>
  <c r="L668" i="1"/>
  <c r="K668" i="1"/>
  <c r="F668" i="1"/>
  <c r="E668" i="1"/>
  <c r="L667" i="1"/>
  <c r="K667" i="1"/>
  <c r="F667" i="1"/>
  <c r="E667" i="1"/>
  <c r="L666" i="1"/>
  <c r="K666" i="1"/>
  <c r="F666" i="1"/>
  <c r="E666" i="1"/>
  <c r="L665" i="1"/>
  <c r="K665" i="1"/>
  <c r="F665" i="1"/>
  <c r="E665" i="1"/>
  <c r="L664" i="1"/>
  <c r="K664" i="1"/>
  <c r="F664" i="1"/>
  <c r="E664" i="1"/>
  <c r="L663" i="1"/>
  <c r="K663" i="1"/>
  <c r="F663" i="1"/>
  <c r="E663" i="1"/>
  <c r="L662" i="1"/>
  <c r="K662" i="1"/>
  <c r="F662" i="1"/>
  <c r="E662" i="1"/>
  <c r="L661" i="1"/>
  <c r="K661" i="1"/>
  <c r="F661" i="1"/>
  <c r="E661" i="1"/>
  <c r="L660" i="1"/>
  <c r="K660" i="1"/>
  <c r="F660" i="1"/>
  <c r="E660" i="1"/>
  <c r="L659" i="1"/>
  <c r="K659" i="1"/>
  <c r="F659" i="1"/>
  <c r="E659" i="1"/>
  <c r="L658" i="1"/>
  <c r="K658" i="1"/>
  <c r="F658" i="1"/>
  <c r="E658" i="1"/>
  <c r="L657" i="1"/>
  <c r="K657" i="1"/>
  <c r="F657" i="1"/>
  <c r="E657" i="1"/>
  <c r="L656" i="1"/>
  <c r="K656" i="1"/>
  <c r="F656" i="1"/>
  <c r="E656" i="1"/>
  <c r="L655" i="1"/>
  <c r="K655" i="1"/>
  <c r="F655" i="1"/>
  <c r="E655" i="1"/>
  <c r="L654" i="1"/>
  <c r="K654" i="1"/>
  <c r="F654" i="1"/>
  <c r="E654" i="1"/>
  <c r="L653" i="1"/>
  <c r="K653" i="1"/>
  <c r="F653" i="1"/>
  <c r="E653" i="1"/>
  <c r="L652" i="1"/>
  <c r="K652" i="1"/>
  <c r="F652" i="1"/>
  <c r="E652" i="1"/>
  <c r="L651" i="1"/>
  <c r="K651" i="1"/>
  <c r="F651" i="1"/>
  <c r="E651" i="1"/>
  <c r="L650" i="1"/>
  <c r="K650" i="1"/>
  <c r="F650" i="1"/>
  <c r="E650" i="1"/>
  <c r="L649" i="1"/>
  <c r="K649" i="1"/>
  <c r="F649" i="1"/>
  <c r="E649" i="1"/>
  <c r="L648" i="1"/>
  <c r="K648" i="1"/>
  <c r="F648" i="1"/>
  <c r="E648" i="1"/>
  <c r="L647" i="1"/>
  <c r="K647" i="1"/>
  <c r="F647" i="1"/>
  <c r="E647" i="1"/>
  <c r="L646" i="1"/>
  <c r="K646" i="1"/>
  <c r="F646" i="1"/>
  <c r="E646" i="1"/>
  <c r="L645" i="1"/>
  <c r="K645" i="1"/>
  <c r="F645" i="1"/>
  <c r="E645" i="1"/>
  <c r="L644" i="1"/>
  <c r="K644" i="1"/>
  <c r="F644" i="1"/>
  <c r="E644" i="1"/>
  <c r="L643" i="1"/>
  <c r="K643" i="1"/>
  <c r="F643" i="1"/>
  <c r="E643" i="1"/>
  <c r="L642" i="1"/>
  <c r="K642" i="1"/>
  <c r="F642" i="1"/>
  <c r="E642" i="1"/>
  <c r="L641" i="1"/>
  <c r="K641" i="1"/>
  <c r="F641" i="1"/>
  <c r="E641" i="1"/>
  <c r="L640" i="1"/>
  <c r="K640" i="1"/>
  <c r="F640" i="1"/>
  <c r="E640" i="1"/>
  <c r="L639" i="1"/>
  <c r="K639" i="1"/>
  <c r="F639" i="1"/>
  <c r="E639" i="1"/>
  <c r="L638" i="1"/>
  <c r="K638" i="1"/>
  <c r="F638" i="1"/>
  <c r="E638" i="1"/>
  <c r="L637" i="1"/>
  <c r="K637" i="1"/>
  <c r="F637" i="1"/>
  <c r="E637" i="1"/>
  <c r="L636" i="1"/>
  <c r="K636" i="1"/>
  <c r="F636" i="1"/>
  <c r="E636" i="1"/>
  <c r="L635" i="1"/>
  <c r="K635" i="1"/>
  <c r="F635" i="1"/>
  <c r="E635" i="1"/>
  <c r="L634" i="1"/>
  <c r="K634" i="1"/>
  <c r="F634" i="1"/>
  <c r="E634" i="1"/>
  <c r="L633" i="1"/>
  <c r="K633" i="1"/>
  <c r="F633" i="1"/>
  <c r="E633" i="1"/>
  <c r="L632" i="1"/>
  <c r="K632" i="1"/>
  <c r="F632" i="1"/>
  <c r="E632" i="1"/>
  <c r="L631" i="1"/>
  <c r="K631" i="1"/>
  <c r="F631" i="1"/>
  <c r="E631" i="1"/>
  <c r="L630" i="1"/>
  <c r="K630" i="1"/>
  <c r="F630" i="1"/>
  <c r="E630" i="1"/>
  <c r="L629" i="1"/>
  <c r="K629" i="1"/>
  <c r="F629" i="1"/>
  <c r="E629" i="1"/>
  <c r="L628" i="1"/>
  <c r="K628" i="1"/>
  <c r="F628" i="1"/>
  <c r="E628" i="1"/>
  <c r="L627" i="1"/>
  <c r="K627" i="1"/>
  <c r="F627" i="1"/>
  <c r="E627" i="1"/>
  <c r="L626" i="1"/>
  <c r="K626" i="1"/>
  <c r="F626" i="1"/>
  <c r="E626" i="1"/>
  <c r="L625" i="1"/>
  <c r="K625" i="1"/>
  <c r="F625" i="1"/>
  <c r="E625" i="1"/>
  <c r="L624" i="1"/>
  <c r="K624" i="1"/>
  <c r="F624" i="1"/>
  <c r="E624" i="1"/>
  <c r="L623" i="1"/>
  <c r="K623" i="1"/>
  <c r="F623" i="1"/>
  <c r="E623" i="1"/>
  <c r="L622" i="1"/>
  <c r="K622" i="1"/>
  <c r="F622" i="1"/>
  <c r="E622" i="1"/>
  <c r="L621" i="1"/>
  <c r="K621" i="1"/>
  <c r="F621" i="1"/>
  <c r="E621" i="1"/>
  <c r="L620" i="1"/>
  <c r="K620" i="1"/>
  <c r="F620" i="1"/>
  <c r="E620" i="1"/>
  <c r="L619" i="1"/>
  <c r="K619" i="1"/>
  <c r="F619" i="1"/>
  <c r="E619" i="1"/>
  <c r="L618" i="1"/>
  <c r="K618" i="1"/>
  <c r="F618" i="1"/>
  <c r="E618" i="1"/>
  <c r="L617" i="1"/>
  <c r="K617" i="1"/>
  <c r="F617" i="1"/>
  <c r="E617" i="1"/>
  <c r="L616" i="1"/>
  <c r="K616" i="1"/>
  <c r="F616" i="1"/>
  <c r="E616" i="1"/>
  <c r="L615" i="1"/>
  <c r="K615" i="1"/>
  <c r="F615" i="1"/>
  <c r="E615" i="1"/>
  <c r="L614" i="1"/>
  <c r="K614" i="1"/>
  <c r="F614" i="1"/>
  <c r="E614" i="1"/>
  <c r="L613" i="1"/>
  <c r="K613" i="1"/>
  <c r="F613" i="1"/>
  <c r="E613" i="1"/>
  <c r="L612" i="1"/>
  <c r="K612" i="1"/>
  <c r="F612" i="1"/>
  <c r="E612" i="1"/>
  <c r="L611" i="1"/>
  <c r="K611" i="1"/>
  <c r="F611" i="1"/>
  <c r="E611" i="1"/>
  <c r="L610" i="1"/>
  <c r="K610" i="1"/>
  <c r="F610" i="1"/>
  <c r="E610" i="1"/>
  <c r="L609" i="1"/>
  <c r="K609" i="1"/>
  <c r="F609" i="1"/>
  <c r="E609" i="1"/>
  <c r="L608" i="1"/>
  <c r="K608" i="1"/>
  <c r="F608" i="1"/>
  <c r="E608" i="1"/>
  <c r="L607" i="1"/>
  <c r="K607" i="1"/>
  <c r="F607" i="1"/>
  <c r="E607" i="1"/>
  <c r="L606" i="1"/>
  <c r="K606" i="1"/>
  <c r="F606" i="1"/>
  <c r="E606" i="1"/>
  <c r="L605" i="1"/>
  <c r="K605" i="1"/>
  <c r="F605" i="1"/>
  <c r="E605" i="1"/>
  <c r="L604" i="1"/>
  <c r="K604" i="1"/>
  <c r="F604" i="1"/>
  <c r="E604" i="1"/>
  <c r="L603" i="1"/>
  <c r="K603" i="1"/>
  <c r="F603" i="1"/>
  <c r="E603" i="1"/>
  <c r="L602" i="1"/>
  <c r="K602" i="1"/>
  <c r="F602" i="1"/>
  <c r="E602" i="1"/>
  <c r="L601" i="1"/>
  <c r="K601" i="1"/>
  <c r="F601" i="1"/>
  <c r="E601" i="1"/>
  <c r="L600" i="1"/>
  <c r="K600" i="1"/>
  <c r="F600" i="1"/>
  <c r="E600" i="1"/>
  <c r="L599" i="1"/>
  <c r="K599" i="1"/>
  <c r="F599" i="1"/>
  <c r="E599" i="1"/>
  <c r="L598" i="1"/>
  <c r="K598" i="1"/>
  <c r="F598" i="1"/>
  <c r="E598" i="1"/>
  <c r="L597" i="1"/>
  <c r="K597" i="1"/>
  <c r="F597" i="1"/>
  <c r="E597" i="1"/>
  <c r="L596" i="1"/>
  <c r="K596" i="1"/>
  <c r="F596" i="1"/>
  <c r="E596" i="1"/>
  <c r="L595" i="1"/>
  <c r="K595" i="1"/>
  <c r="F595" i="1"/>
  <c r="E595" i="1"/>
  <c r="L594" i="1"/>
  <c r="K594" i="1"/>
  <c r="F594" i="1"/>
  <c r="E594" i="1"/>
  <c r="L593" i="1"/>
  <c r="K593" i="1"/>
  <c r="F593" i="1"/>
  <c r="E593" i="1"/>
  <c r="L592" i="1"/>
  <c r="K592" i="1"/>
  <c r="F592" i="1"/>
  <c r="E592" i="1"/>
  <c r="L591" i="1"/>
  <c r="K591" i="1"/>
  <c r="F591" i="1"/>
  <c r="E591" i="1"/>
  <c r="L590" i="1"/>
  <c r="K590" i="1"/>
  <c r="F590" i="1"/>
  <c r="E590" i="1"/>
  <c r="L589" i="1"/>
  <c r="K589" i="1"/>
  <c r="F589" i="1"/>
  <c r="E589" i="1"/>
  <c r="L588" i="1"/>
  <c r="K588" i="1"/>
  <c r="F588" i="1"/>
  <c r="E588" i="1"/>
  <c r="L587" i="1"/>
  <c r="K587" i="1"/>
  <c r="F587" i="1"/>
  <c r="E587" i="1"/>
  <c r="L586" i="1"/>
  <c r="K586" i="1"/>
  <c r="F586" i="1"/>
  <c r="E586" i="1"/>
  <c r="L585" i="1"/>
  <c r="K585" i="1"/>
  <c r="F585" i="1"/>
  <c r="E585" i="1"/>
  <c r="L584" i="1"/>
  <c r="K584" i="1"/>
  <c r="F584" i="1"/>
  <c r="E584" i="1"/>
  <c r="L583" i="1"/>
  <c r="K583" i="1"/>
  <c r="F583" i="1"/>
  <c r="E583" i="1"/>
  <c r="L582" i="1"/>
  <c r="K582" i="1"/>
  <c r="F582" i="1"/>
  <c r="E582" i="1"/>
  <c r="L581" i="1"/>
  <c r="K581" i="1"/>
  <c r="F581" i="1"/>
  <c r="E581" i="1"/>
  <c r="L580" i="1"/>
  <c r="K580" i="1"/>
  <c r="F580" i="1"/>
  <c r="E580" i="1"/>
  <c r="L579" i="1"/>
  <c r="K579" i="1"/>
  <c r="F579" i="1"/>
  <c r="E579" i="1"/>
  <c r="L578" i="1"/>
  <c r="K578" i="1"/>
  <c r="F578" i="1"/>
  <c r="E578" i="1"/>
  <c r="L577" i="1"/>
  <c r="K577" i="1"/>
  <c r="F577" i="1"/>
  <c r="E577" i="1"/>
  <c r="L576" i="1"/>
  <c r="K576" i="1"/>
  <c r="F576" i="1"/>
  <c r="E576" i="1"/>
  <c r="L575" i="1"/>
  <c r="K575" i="1"/>
  <c r="F575" i="1"/>
  <c r="E575" i="1"/>
  <c r="L574" i="1"/>
  <c r="K574" i="1"/>
  <c r="F574" i="1"/>
  <c r="E574" i="1"/>
  <c r="L573" i="1"/>
  <c r="K573" i="1"/>
  <c r="F573" i="1"/>
  <c r="E573" i="1"/>
  <c r="L572" i="1"/>
  <c r="K572" i="1"/>
  <c r="F572" i="1"/>
  <c r="E572" i="1"/>
  <c r="L571" i="1"/>
  <c r="K571" i="1"/>
  <c r="F571" i="1"/>
  <c r="E571" i="1"/>
  <c r="L570" i="1"/>
  <c r="K570" i="1"/>
  <c r="F570" i="1"/>
  <c r="E570" i="1"/>
  <c r="L569" i="1"/>
  <c r="K569" i="1"/>
  <c r="F569" i="1"/>
  <c r="E569" i="1"/>
  <c r="L568" i="1"/>
  <c r="K568" i="1"/>
  <c r="F568" i="1"/>
  <c r="E568" i="1"/>
  <c r="L567" i="1"/>
  <c r="K567" i="1"/>
  <c r="F567" i="1"/>
  <c r="E567" i="1"/>
  <c r="L566" i="1"/>
  <c r="K566" i="1"/>
  <c r="F566" i="1"/>
  <c r="E566" i="1"/>
  <c r="L565" i="1"/>
  <c r="K565" i="1"/>
  <c r="F565" i="1"/>
  <c r="E565" i="1"/>
  <c r="L564" i="1"/>
  <c r="K564" i="1"/>
  <c r="F564" i="1"/>
  <c r="E564" i="1"/>
  <c r="L563" i="1"/>
  <c r="K563" i="1"/>
  <c r="F563" i="1"/>
  <c r="E563" i="1"/>
  <c r="L562" i="1"/>
  <c r="K562" i="1"/>
  <c r="F562" i="1"/>
  <c r="E562" i="1"/>
  <c r="L561" i="1"/>
  <c r="K561" i="1"/>
  <c r="F561" i="1"/>
  <c r="E561" i="1"/>
  <c r="L560" i="1"/>
  <c r="K560" i="1"/>
  <c r="F560" i="1"/>
  <c r="E560" i="1"/>
  <c r="L559" i="1"/>
  <c r="K559" i="1"/>
  <c r="F559" i="1"/>
  <c r="E559" i="1"/>
  <c r="L558" i="1"/>
  <c r="K558" i="1"/>
  <c r="F558" i="1"/>
  <c r="E558" i="1"/>
  <c r="L557" i="1"/>
  <c r="K557" i="1"/>
  <c r="F557" i="1"/>
  <c r="E557" i="1"/>
  <c r="L556" i="1"/>
  <c r="K556" i="1"/>
  <c r="F556" i="1"/>
  <c r="E556" i="1"/>
  <c r="L555" i="1"/>
  <c r="K555" i="1"/>
  <c r="F555" i="1"/>
  <c r="E555" i="1"/>
  <c r="L554" i="1"/>
  <c r="K554" i="1"/>
  <c r="F554" i="1"/>
  <c r="E554" i="1"/>
  <c r="L553" i="1"/>
  <c r="K553" i="1"/>
  <c r="F553" i="1"/>
  <c r="E553" i="1"/>
  <c r="L552" i="1"/>
  <c r="K552" i="1"/>
  <c r="F552" i="1"/>
  <c r="E552" i="1"/>
  <c r="L551" i="1"/>
  <c r="K551" i="1"/>
  <c r="F551" i="1"/>
  <c r="E551" i="1"/>
  <c r="L550" i="1"/>
  <c r="K550" i="1"/>
  <c r="F550" i="1"/>
  <c r="E550" i="1"/>
  <c r="L549" i="1"/>
  <c r="K549" i="1"/>
  <c r="F549" i="1"/>
  <c r="E549" i="1"/>
  <c r="L548" i="1"/>
  <c r="K548" i="1"/>
  <c r="F548" i="1"/>
  <c r="E548" i="1"/>
  <c r="L547" i="1"/>
  <c r="K547" i="1"/>
  <c r="F547" i="1"/>
  <c r="E547" i="1"/>
  <c r="L546" i="1"/>
  <c r="K546" i="1"/>
  <c r="F546" i="1"/>
  <c r="E546" i="1"/>
  <c r="L545" i="1"/>
  <c r="K545" i="1"/>
  <c r="F545" i="1"/>
  <c r="E545" i="1"/>
  <c r="L544" i="1"/>
  <c r="K544" i="1"/>
  <c r="F544" i="1"/>
  <c r="E544" i="1"/>
  <c r="L543" i="1"/>
  <c r="K543" i="1"/>
  <c r="F543" i="1"/>
  <c r="E543" i="1"/>
  <c r="L542" i="1"/>
  <c r="K542" i="1"/>
  <c r="F542" i="1"/>
  <c r="E542" i="1"/>
  <c r="L541" i="1"/>
  <c r="K541" i="1"/>
  <c r="F541" i="1"/>
  <c r="E541" i="1"/>
  <c r="L540" i="1"/>
  <c r="K540" i="1"/>
  <c r="F540" i="1"/>
  <c r="E540" i="1"/>
  <c r="L539" i="1"/>
  <c r="K539" i="1"/>
  <c r="F539" i="1"/>
  <c r="E539" i="1"/>
  <c r="L538" i="1"/>
  <c r="K538" i="1"/>
  <c r="F538" i="1"/>
  <c r="E538" i="1"/>
  <c r="L537" i="1"/>
  <c r="K537" i="1"/>
  <c r="F537" i="1"/>
  <c r="E537" i="1"/>
  <c r="L536" i="1"/>
  <c r="K536" i="1"/>
  <c r="F536" i="1"/>
  <c r="E536" i="1"/>
  <c r="L535" i="1"/>
  <c r="K535" i="1"/>
  <c r="F535" i="1"/>
  <c r="E535" i="1"/>
  <c r="L534" i="1"/>
  <c r="K534" i="1"/>
  <c r="F534" i="1"/>
  <c r="E534" i="1"/>
  <c r="L533" i="1"/>
  <c r="K533" i="1"/>
  <c r="F533" i="1"/>
  <c r="E533" i="1"/>
  <c r="L532" i="1"/>
  <c r="K532" i="1"/>
  <c r="F532" i="1"/>
  <c r="E532" i="1"/>
  <c r="L531" i="1"/>
  <c r="K531" i="1"/>
  <c r="F531" i="1"/>
  <c r="E531" i="1"/>
  <c r="L530" i="1"/>
  <c r="K530" i="1"/>
  <c r="F530" i="1"/>
  <c r="E530" i="1"/>
  <c r="L529" i="1"/>
  <c r="K529" i="1"/>
  <c r="F529" i="1"/>
  <c r="E529" i="1"/>
  <c r="L528" i="1"/>
  <c r="K528" i="1"/>
  <c r="F528" i="1"/>
  <c r="E528" i="1"/>
  <c r="L527" i="1"/>
  <c r="K527" i="1"/>
  <c r="F527" i="1"/>
  <c r="E527" i="1"/>
  <c r="L526" i="1"/>
  <c r="K526" i="1"/>
  <c r="F526" i="1"/>
  <c r="E526" i="1"/>
  <c r="L525" i="1"/>
  <c r="K525" i="1"/>
  <c r="F525" i="1"/>
  <c r="E525" i="1"/>
  <c r="L524" i="1"/>
  <c r="K524" i="1"/>
  <c r="F524" i="1"/>
  <c r="E524" i="1"/>
  <c r="L523" i="1"/>
  <c r="K523" i="1"/>
  <c r="F523" i="1"/>
  <c r="E523" i="1"/>
  <c r="L522" i="1"/>
  <c r="K522" i="1"/>
  <c r="F522" i="1"/>
  <c r="E522" i="1"/>
  <c r="L521" i="1"/>
  <c r="K521" i="1"/>
  <c r="F521" i="1"/>
  <c r="E521" i="1"/>
  <c r="L520" i="1"/>
  <c r="K520" i="1"/>
  <c r="F520" i="1"/>
  <c r="E520" i="1"/>
  <c r="L519" i="1"/>
  <c r="K519" i="1"/>
  <c r="F519" i="1"/>
  <c r="E519" i="1"/>
  <c r="L518" i="1"/>
  <c r="K518" i="1"/>
  <c r="F518" i="1"/>
  <c r="E518" i="1"/>
  <c r="L517" i="1"/>
  <c r="K517" i="1"/>
  <c r="F517" i="1"/>
  <c r="E517" i="1"/>
  <c r="L516" i="1"/>
  <c r="K516" i="1"/>
  <c r="F516" i="1"/>
  <c r="E516" i="1"/>
  <c r="L515" i="1"/>
  <c r="K515" i="1"/>
  <c r="F515" i="1"/>
  <c r="E515" i="1"/>
  <c r="L514" i="1"/>
  <c r="K514" i="1"/>
  <c r="F514" i="1"/>
  <c r="E514" i="1"/>
  <c r="L513" i="1"/>
  <c r="K513" i="1"/>
  <c r="F513" i="1"/>
  <c r="E513" i="1"/>
  <c r="L512" i="1"/>
  <c r="K512" i="1"/>
  <c r="F512" i="1"/>
  <c r="E512" i="1"/>
  <c r="L511" i="1"/>
  <c r="K511" i="1"/>
  <c r="F511" i="1"/>
  <c r="E511" i="1"/>
  <c r="L510" i="1"/>
  <c r="K510" i="1"/>
  <c r="F510" i="1"/>
  <c r="E510" i="1"/>
  <c r="L509" i="1"/>
  <c r="K509" i="1"/>
  <c r="F509" i="1"/>
  <c r="E509" i="1"/>
  <c r="L508" i="1"/>
  <c r="K508" i="1"/>
  <c r="F508" i="1"/>
  <c r="E508" i="1"/>
  <c r="L507" i="1"/>
  <c r="K507" i="1"/>
  <c r="F507" i="1"/>
  <c r="E507" i="1"/>
  <c r="L506" i="1"/>
  <c r="K506" i="1"/>
  <c r="F506" i="1"/>
  <c r="E506" i="1"/>
  <c r="L505" i="1"/>
  <c r="K505" i="1"/>
  <c r="F505" i="1"/>
  <c r="E505" i="1"/>
  <c r="L504" i="1"/>
  <c r="K504" i="1"/>
  <c r="F504" i="1"/>
  <c r="E504" i="1"/>
  <c r="L503" i="1"/>
  <c r="K503" i="1"/>
  <c r="F503" i="1"/>
  <c r="E503" i="1"/>
  <c r="L502" i="1"/>
  <c r="K502" i="1"/>
  <c r="F502" i="1"/>
  <c r="E502" i="1"/>
  <c r="L501" i="1"/>
  <c r="K501" i="1"/>
  <c r="F501" i="1"/>
  <c r="E501" i="1"/>
  <c r="L500" i="1"/>
  <c r="K500" i="1"/>
  <c r="F500" i="1"/>
  <c r="E500" i="1"/>
  <c r="L499" i="1"/>
  <c r="K499" i="1"/>
  <c r="F499" i="1"/>
  <c r="E499" i="1"/>
  <c r="L498" i="1"/>
  <c r="K498" i="1"/>
  <c r="F498" i="1"/>
  <c r="E498" i="1"/>
  <c r="L497" i="1"/>
  <c r="K497" i="1"/>
  <c r="F497" i="1"/>
  <c r="E497" i="1"/>
  <c r="L496" i="1"/>
  <c r="K496" i="1"/>
  <c r="F496" i="1"/>
  <c r="E496" i="1"/>
  <c r="L495" i="1"/>
  <c r="K495" i="1"/>
  <c r="F495" i="1"/>
  <c r="E495" i="1"/>
  <c r="L494" i="1"/>
  <c r="K494" i="1"/>
  <c r="F494" i="1"/>
  <c r="E494" i="1"/>
  <c r="L493" i="1"/>
  <c r="K493" i="1"/>
  <c r="F493" i="1"/>
  <c r="E493" i="1"/>
  <c r="L492" i="1"/>
  <c r="K492" i="1"/>
  <c r="F492" i="1"/>
  <c r="E492" i="1"/>
  <c r="L488" i="1"/>
  <c r="K488" i="1"/>
  <c r="F488" i="1"/>
  <c r="E488" i="1"/>
  <c r="L487" i="1"/>
  <c r="K487" i="1"/>
  <c r="F487" i="1"/>
  <c r="E487" i="1"/>
  <c r="L486" i="1"/>
  <c r="K486" i="1"/>
  <c r="F486" i="1"/>
  <c r="E486" i="1"/>
  <c r="L485" i="1"/>
  <c r="K485" i="1"/>
  <c r="F485" i="1"/>
  <c r="E485" i="1"/>
  <c r="L484" i="1"/>
  <c r="K484" i="1"/>
  <c r="F484" i="1"/>
  <c r="E484" i="1"/>
  <c r="L483" i="1"/>
  <c r="K483" i="1"/>
  <c r="F483" i="1"/>
  <c r="E483" i="1"/>
  <c r="L482" i="1"/>
  <c r="K482" i="1"/>
  <c r="F482" i="1"/>
  <c r="E482" i="1"/>
  <c r="L481" i="1"/>
  <c r="K481" i="1"/>
  <c r="F481" i="1"/>
  <c r="E481" i="1"/>
  <c r="L480" i="1"/>
  <c r="K480" i="1"/>
  <c r="F480" i="1"/>
  <c r="E480" i="1"/>
  <c r="L479" i="1"/>
  <c r="K479" i="1"/>
  <c r="F479" i="1"/>
  <c r="E479" i="1"/>
  <c r="L478" i="1"/>
  <c r="K478" i="1"/>
  <c r="F478" i="1"/>
  <c r="E478" i="1"/>
  <c r="L477" i="1"/>
  <c r="K477" i="1"/>
  <c r="F477" i="1"/>
  <c r="E477" i="1"/>
  <c r="L476" i="1"/>
  <c r="K476" i="1"/>
  <c r="F476" i="1"/>
  <c r="E476" i="1"/>
  <c r="L475" i="1"/>
  <c r="K475" i="1"/>
  <c r="F475" i="1"/>
  <c r="E475" i="1"/>
  <c r="L474" i="1"/>
  <c r="K474" i="1"/>
  <c r="F474" i="1"/>
  <c r="E474" i="1"/>
  <c r="L473" i="1"/>
  <c r="K473" i="1"/>
  <c r="F473" i="1"/>
  <c r="E473" i="1"/>
  <c r="L472" i="1"/>
  <c r="K472" i="1"/>
  <c r="F472" i="1"/>
  <c r="E472" i="1"/>
  <c r="L471" i="1"/>
  <c r="K471" i="1"/>
  <c r="F471" i="1"/>
  <c r="E471" i="1"/>
  <c r="L470" i="1"/>
  <c r="K470" i="1"/>
  <c r="F470" i="1"/>
  <c r="E470" i="1"/>
  <c r="L469" i="1"/>
  <c r="K469" i="1"/>
  <c r="F469" i="1"/>
  <c r="E469" i="1"/>
  <c r="L468" i="1"/>
  <c r="K468" i="1"/>
  <c r="F468" i="1"/>
  <c r="E468" i="1"/>
  <c r="L467" i="1"/>
  <c r="K467" i="1"/>
  <c r="F467" i="1"/>
  <c r="E467" i="1"/>
  <c r="L466" i="1"/>
  <c r="K466" i="1"/>
  <c r="F466" i="1"/>
  <c r="E466" i="1"/>
  <c r="L465" i="1"/>
  <c r="K465" i="1"/>
  <c r="F465" i="1"/>
  <c r="E465" i="1"/>
  <c r="L464" i="1"/>
  <c r="K464" i="1"/>
  <c r="F464" i="1"/>
  <c r="E464" i="1"/>
  <c r="L463" i="1"/>
  <c r="K463" i="1"/>
  <c r="F463" i="1"/>
  <c r="E463" i="1"/>
  <c r="L462" i="1"/>
  <c r="K462" i="1"/>
  <c r="F462" i="1"/>
  <c r="E462" i="1"/>
  <c r="L461" i="1"/>
  <c r="K461" i="1"/>
  <c r="F461" i="1"/>
  <c r="E461" i="1"/>
  <c r="L460" i="1"/>
  <c r="K460" i="1"/>
  <c r="F460" i="1"/>
  <c r="E460" i="1"/>
  <c r="L459" i="1"/>
  <c r="K459" i="1"/>
  <c r="F459" i="1"/>
  <c r="E459" i="1"/>
  <c r="L458" i="1"/>
  <c r="K458" i="1"/>
  <c r="F458" i="1"/>
  <c r="E458" i="1"/>
  <c r="L457" i="1"/>
  <c r="K457" i="1"/>
  <c r="F457" i="1"/>
  <c r="E457" i="1"/>
  <c r="L456" i="1"/>
  <c r="K456" i="1"/>
  <c r="F456" i="1"/>
  <c r="E456" i="1"/>
  <c r="L455" i="1"/>
  <c r="K455" i="1"/>
  <c r="F455" i="1"/>
  <c r="E455" i="1"/>
  <c r="L454" i="1"/>
  <c r="K454" i="1"/>
  <c r="F454" i="1"/>
  <c r="E454" i="1"/>
  <c r="L453" i="1"/>
  <c r="K453" i="1"/>
  <c r="F453" i="1"/>
  <c r="E453" i="1"/>
  <c r="L452" i="1"/>
  <c r="K452" i="1"/>
  <c r="F452" i="1"/>
  <c r="E452" i="1"/>
  <c r="L451" i="1"/>
  <c r="K451" i="1"/>
  <c r="F451" i="1"/>
  <c r="E451" i="1"/>
  <c r="L450" i="1"/>
  <c r="K450" i="1"/>
  <c r="F450" i="1"/>
  <c r="E450" i="1"/>
  <c r="L449" i="1"/>
  <c r="K449" i="1"/>
  <c r="F449" i="1"/>
  <c r="E449" i="1"/>
  <c r="L448" i="1"/>
  <c r="K448" i="1"/>
  <c r="F448" i="1"/>
  <c r="E448" i="1"/>
  <c r="L447" i="1"/>
  <c r="K447" i="1"/>
  <c r="F447" i="1"/>
  <c r="E447" i="1"/>
  <c r="L446" i="1"/>
  <c r="K446" i="1"/>
  <c r="F446" i="1"/>
  <c r="E446" i="1"/>
  <c r="L445" i="1"/>
  <c r="K445" i="1"/>
  <c r="F445" i="1"/>
  <c r="E445" i="1"/>
  <c r="L444" i="1"/>
  <c r="K444" i="1"/>
  <c r="F444" i="1"/>
  <c r="E444" i="1"/>
  <c r="L443" i="1"/>
  <c r="K443" i="1"/>
  <c r="F443" i="1"/>
  <c r="E443" i="1"/>
  <c r="L442" i="1"/>
  <c r="K442" i="1"/>
  <c r="F442" i="1"/>
  <c r="E442" i="1"/>
  <c r="L441" i="1"/>
  <c r="K441" i="1"/>
  <c r="F441" i="1"/>
  <c r="E441" i="1"/>
  <c r="L440" i="1"/>
  <c r="K440" i="1"/>
  <c r="F440" i="1"/>
  <c r="E440" i="1"/>
  <c r="L439" i="1"/>
  <c r="K439" i="1"/>
  <c r="F439" i="1"/>
  <c r="E439" i="1"/>
  <c r="L438" i="1"/>
  <c r="K438" i="1"/>
  <c r="F438" i="1"/>
  <c r="E438" i="1"/>
  <c r="L437" i="1"/>
  <c r="K437" i="1"/>
  <c r="F437" i="1"/>
  <c r="E437" i="1"/>
  <c r="L436" i="1"/>
  <c r="K436" i="1"/>
  <c r="F436" i="1"/>
  <c r="E436" i="1"/>
  <c r="L435" i="1"/>
  <c r="K435" i="1"/>
  <c r="F435" i="1"/>
  <c r="E435" i="1"/>
  <c r="L434" i="1"/>
  <c r="K434" i="1"/>
  <c r="F434" i="1"/>
  <c r="E434" i="1"/>
  <c r="L433" i="1"/>
  <c r="K433" i="1"/>
  <c r="F433" i="1"/>
  <c r="E433" i="1"/>
  <c r="L432" i="1"/>
  <c r="K432" i="1"/>
  <c r="F432" i="1"/>
  <c r="E432" i="1"/>
  <c r="L431" i="1"/>
  <c r="K431" i="1"/>
  <c r="F431" i="1"/>
  <c r="E431" i="1"/>
  <c r="L430" i="1"/>
  <c r="K430" i="1"/>
  <c r="F430" i="1"/>
  <c r="E430" i="1"/>
  <c r="L429" i="1"/>
  <c r="K429" i="1"/>
  <c r="F429" i="1"/>
  <c r="E429" i="1"/>
  <c r="L428" i="1"/>
  <c r="K428" i="1"/>
  <c r="F428" i="1"/>
  <c r="E428" i="1"/>
  <c r="L427" i="1"/>
  <c r="K427" i="1"/>
  <c r="F427" i="1"/>
  <c r="E427" i="1"/>
  <c r="L426" i="1"/>
  <c r="K426" i="1"/>
  <c r="F426" i="1"/>
  <c r="E426" i="1"/>
  <c r="L425" i="1"/>
  <c r="K425" i="1"/>
  <c r="F425" i="1"/>
  <c r="E425" i="1"/>
  <c r="L424" i="1"/>
  <c r="K424" i="1"/>
  <c r="F424" i="1"/>
  <c r="E424" i="1"/>
  <c r="L423" i="1"/>
  <c r="K423" i="1"/>
  <c r="F423" i="1"/>
  <c r="E423" i="1"/>
  <c r="L422" i="1"/>
  <c r="K422" i="1"/>
  <c r="F422" i="1"/>
  <c r="E422" i="1"/>
  <c r="L421" i="1"/>
  <c r="K421" i="1"/>
  <c r="F421" i="1"/>
  <c r="E421" i="1"/>
  <c r="L420" i="1"/>
  <c r="K420" i="1"/>
  <c r="F420" i="1"/>
  <c r="E420" i="1"/>
  <c r="L419" i="1"/>
  <c r="K419" i="1"/>
  <c r="F419" i="1"/>
  <c r="E419" i="1"/>
  <c r="L418" i="1"/>
  <c r="K418" i="1"/>
  <c r="F418" i="1"/>
  <c r="E418" i="1"/>
  <c r="L417" i="1"/>
  <c r="K417" i="1"/>
  <c r="F417" i="1"/>
  <c r="E417" i="1"/>
  <c r="L416" i="1"/>
  <c r="K416" i="1"/>
  <c r="F416" i="1"/>
  <c r="E416" i="1"/>
  <c r="L415" i="1"/>
  <c r="K415" i="1"/>
  <c r="F415" i="1"/>
  <c r="E415" i="1"/>
  <c r="L414" i="1"/>
  <c r="K414" i="1"/>
  <c r="F414" i="1"/>
  <c r="E414" i="1"/>
  <c r="L413" i="1"/>
  <c r="K413" i="1"/>
  <c r="F413" i="1"/>
  <c r="E413" i="1"/>
  <c r="L412" i="1"/>
  <c r="K412" i="1"/>
  <c r="F412" i="1"/>
  <c r="E412" i="1"/>
  <c r="L411" i="1"/>
  <c r="K411" i="1"/>
  <c r="F411" i="1"/>
  <c r="E411" i="1"/>
  <c r="L410" i="1"/>
  <c r="K410" i="1"/>
  <c r="F410" i="1"/>
  <c r="E410" i="1"/>
  <c r="L409" i="1"/>
  <c r="K409" i="1"/>
  <c r="F409" i="1"/>
  <c r="E409" i="1"/>
  <c r="L408" i="1"/>
  <c r="K408" i="1"/>
  <c r="F408" i="1"/>
  <c r="E408" i="1"/>
  <c r="L407" i="1"/>
  <c r="K407" i="1"/>
  <c r="F407" i="1"/>
  <c r="E407" i="1"/>
  <c r="L406" i="1"/>
  <c r="K406" i="1"/>
  <c r="F406" i="1"/>
  <c r="E406" i="1"/>
  <c r="L405" i="1"/>
  <c r="K405" i="1"/>
  <c r="F405" i="1"/>
  <c r="E405" i="1"/>
  <c r="L404" i="1"/>
  <c r="K404" i="1"/>
  <c r="F404" i="1"/>
  <c r="E404" i="1"/>
  <c r="L403" i="1"/>
  <c r="K403" i="1"/>
  <c r="F403" i="1"/>
  <c r="E403" i="1"/>
  <c r="L402" i="1"/>
  <c r="K402" i="1"/>
  <c r="F402" i="1"/>
  <c r="E402" i="1"/>
  <c r="L401" i="1"/>
  <c r="K401" i="1"/>
  <c r="F401" i="1"/>
  <c r="E401" i="1"/>
  <c r="L400" i="1"/>
  <c r="K400" i="1"/>
  <c r="F400" i="1"/>
  <c r="E400" i="1"/>
  <c r="L399" i="1"/>
  <c r="K399" i="1"/>
  <c r="F399" i="1"/>
  <c r="E399" i="1"/>
  <c r="L398" i="1"/>
  <c r="K398" i="1"/>
  <c r="F398" i="1"/>
  <c r="E398" i="1"/>
  <c r="L397" i="1"/>
  <c r="K397" i="1"/>
  <c r="F397" i="1"/>
  <c r="E397" i="1"/>
  <c r="L396" i="1"/>
  <c r="K396" i="1"/>
  <c r="F396" i="1"/>
  <c r="E396" i="1"/>
  <c r="L395" i="1"/>
  <c r="K395" i="1"/>
  <c r="F395" i="1"/>
  <c r="E395" i="1"/>
  <c r="L394" i="1"/>
  <c r="K394" i="1"/>
  <c r="F394" i="1"/>
  <c r="E394" i="1"/>
  <c r="L393" i="1"/>
  <c r="K393" i="1"/>
  <c r="F393" i="1"/>
  <c r="E393" i="1"/>
  <c r="L392" i="1"/>
  <c r="K392" i="1"/>
  <c r="F392" i="1"/>
  <c r="E392" i="1"/>
  <c r="L391" i="1"/>
  <c r="K391" i="1"/>
  <c r="F391" i="1"/>
  <c r="E391" i="1"/>
  <c r="L390" i="1"/>
  <c r="K390" i="1"/>
  <c r="F390" i="1"/>
  <c r="E390" i="1"/>
  <c r="L389" i="1"/>
  <c r="K389" i="1"/>
  <c r="F389" i="1"/>
  <c r="E389" i="1"/>
  <c r="L388" i="1"/>
  <c r="K388" i="1"/>
  <c r="F388" i="1"/>
  <c r="E388" i="1"/>
  <c r="L387" i="1"/>
  <c r="K387" i="1"/>
  <c r="F387" i="1"/>
  <c r="E387" i="1"/>
  <c r="L386" i="1"/>
  <c r="K386" i="1"/>
  <c r="F386" i="1"/>
  <c r="E386" i="1"/>
  <c r="L385" i="1"/>
  <c r="K385" i="1"/>
  <c r="F385" i="1"/>
  <c r="E385" i="1"/>
  <c r="L384" i="1"/>
  <c r="K384" i="1"/>
  <c r="F384" i="1"/>
  <c r="E384" i="1"/>
  <c r="L383" i="1"/>
  <c r="K383" i="1"/>
  <c r="F383" i="1"/>
  <c r="E383" i="1"/>
  <c r="L382" i="1"/>
  <c r="K382" i="1"/>
  <c r="F382" i="1"/>
  <c r="E382" i="1"/>
  <c r="L381" i="1"/>
  <c r="K381" i="1"/>
  <c r="F381" i="1"/>
  <c r="E381" i="1"/>
  <c r="L380" i="1"/>
  <c r="K380" i="1"/>
  <c r="F380" i="1"/>
  <c r="E380" i="1"/>
  <c r="L379" i="1"/>
  <c r="K379" i="1"/>
  <c r="F379" i="1"/>
  <c r="E379" i="1"/>
  <c r="L378" i="1"/>
  <c r="K378" i="1"/>
  <c r="F378" i="1"/>
  <c r="E378" i="1"/>
  <c r="L377" i="1"/>
  <c r="K377" i="1"/>
  <c r="F377" i="1"/>
  <c r="E377" i="1"/>
  <c r="L376" i="1"/>
  <c r="K376" i="1"/>
  <c r="F376" i="1"/>
  <c r="E376" i="1"/>
  <c r="L375" i="1"/>
  <c r="K375" i="1"/>
  <c r="F375" i="1"/>
  <c r="E375" i="1"/>
  <c r="L374" i="1"/>
  <c r="K374" i="1"/>
  <c r="F374" i="1"/>
  <c r="E374" i="1"/>
  <c r="L373" i="1"/>
  <c r="K373" i="1"/>
  <c r="F373" i="1"/>
  <c r="E373" i="1"/>
  <c r="L369" i="1"/>
  <c r="K369" i="1"/>
  <c r="F369" i="1"/>
  <c r="E369" i="1"/>
  <c r="L368" i="1"/>
  <c r="K368" i="1"/>
  <c r="F368" i="1"/>
  <c r="E368" i="1"/>
  <c r="L367" i="1"/>
  <c r="K367" i="1"/>
  <c r="F367" i="1"/>
  <c r="E367" i="1"/>
  <c r="L366" i="1"/>
  <c r="K366" i="1"/>
  <c r="F366" i="1"/>
  <c r="E366" i="1"/>
  <c r="L365" i="1"/>
  <c r="K365" i="1"/>
  <c r="F365" i="1"/>
  <c r="E365" i="1"/>
  <c r="L364" i="1"/>
  <c r="K364" i="1"/>
  <c r="F364" i="1"/>
  <c r="E364" i="1"/>
  <c r="L363" i="1"/>
  <c r="K363" i="1"/>
  <c r="F363" i="1"/>
  <c r="E363" i="1"/>
  <c r="L362" i="1"/>
  <c r="K362" i="1"/>
  <c r="F362" i="1"/>
  <c r="E362" i="1"/>
  <c r="L361" i="1"/>
  <c r="K361" i="1"/>
  <c r="F361" i="1"/>
  <c r="E361" i="1"/>
  <c r="L360" i="1"/>
  <c r="K360" i="1"/>
  <c r="F360" i="1"/>
  <c r="E360" i="1"/>
  <c r="L359" i="1"/>
  <c r="K359" i="1"/>
  <c r="F359" i="1"/>
  <c r="E359" i="1"/>
  <c r="L358" i="1"/>
  <c r="K358" i="1"/>
  <c r="F358" i="1"/>
  <c r="E358" i="1"/>
  <c r="L357" i="1"/>
  <c r="K357" i="1"/>
  <c r="F357" i="1"/>
  <c r="E357" i="1"/>
  <c r="L356" i="1"/>
  <c r="K356" i="1"/>
  <c r="F356" i="1"/>
  <c r="E356" i="1"/>
  <c r="L355" i="1"/>
  <c r="K355" i="1"/>
  <c r="F355" i="1"/>
  <c r="E355" i="1"/>
  <c r="L354" i="1"/>
  <c r="K354" i="1"/>
  <c r="F354" i="1"/>
  <c r="E354" i="1"/>
  <c r="L353" i="1"/>
  <c r="K353" i="1"/>
  <c r="F353" i="1"/>
  <c r="E353" i="1"/>
  <c r="L352" i="1"/>
  <c r="K352" i="1"/>
  <c r="F352" i="1"/>
  <c r="E352" i="1"/>
  <c r="L351" i="1"/>
  <c r="K351" i="1"/>
  <c r="F351" i="1"/>
  <c r="E351" i="1"/>
  <c r="L350" i="1"/>
  <c r="K350" i="1"/>
  <c r="F350" i="1"/>
  <c r="E350" i="1"/>
  <c r="L349" i="1"/>
  <c r="K349" i="1"/>
  <c r="F349" i="1"/>
  <c r="E349" i="1"/>
  <c r="L348" i="1"/>
  <c r="K348" i="1"/>
  <c r="F348" i="1"/>
  <c r="E348" i="1"/>
  <c r="L347" i="1"/>
  <c r="K347" i="1"/>
  <c r="F347" i="1"/>
  <c r="E347" i="1"/>
  <c r="L346" i="1"/>
  <c r="K346" i="1"/>
  <c r="F346" i="1"/>
  <c r="E346" i="1"/>
  <c r="L345" i="1"/>
  <c r="K345" i="1"/>
  <c r="F345" i="1"/>
  <c r="E345" i="1"/>
  <c r="L344" i="1"/>
  <c r="K344" i="1"/>
  <c r="F344" i="1"/>
  <c r="E344" i="1"/>
  <c r="L343" i="1"/>
  <c r="K343" i="1"/>
  <c r="F343" i="1"/>
  <c r="E343" i="1"/>
  <c r="L342" i="1"/>
  <c r="K342" i="1"/>
  <c r="F342" i="1"/>
  <c r="E342" i="1"/>
  <c r="L341" i="1"/>
  <c r="K341" i="1"/>
  <c r="F341" i="1"/>
  <c r="E341" i="1"/>
  <c r="L340" i="1"/>
  <c r="K340" i="1"/>
  <c r="F340" i="1"/>
  <c r="E340" i="1"/>
  <c r="L339" i="1"/>
  <c r="K339" i="1"/>
  <c r="F339" i="1"/>
  <c r="E339" i="1"/>
  <c r="L338" i="1"/>
  <c r="K338" i="1"/>
  <c r="F338" i="1"/>
  <c r="E338" i="1"/>
  <c r="L337" i="1"/>
  <c r="K337" i="1"/>
  <c r="F337" i="1"/>
  <c r="E337" i="1"/>
  <c r="L336" i="1"/>
  <c r="K336" i="1"/>
  <c r="F336" i="1"/>
  <c r="E336" i="1"/>
  <c r="L335" i="1"/>
  <c r="K335" i="1"/>
  <c r="F335" i="1"/>
  <c r="E335" i="1"/>
  <c r="L334" i="1"/>
  <c r="K334" i="1"/>
  <c r="F334" i="1"/>
  <c r="E334" i="1"/>
  <c r="L333" i="1"/>
  <c r="K333" i="1"/>
  <c r="F333" i="1"/>
  <c r="E333" i="1"/>
  <c r="L332" i="1"/>
  <c r="K332" i="1"/>
  <c r="F332" i="1"/>
  <c r="E332" i="1"/>
  <c r="L331" i="1"/>
  <c r="K331" i="1"/>
  <c r="F331" i="1"/>
  <c r="E331" i="1"/>
  <c r="L330" i="1"/>
  <c r="K330" i="1"/>
  <c r="F330" i="1"/>
  <c r="E330" i="1"/>
  <c r="L329" i="1"/>
  <c r="K329" i="1"/>
  <c r="F329" i="1"/>
  <c r="E329" i="1"/>
  <c r="L328" i="1"/>
  <c r="K328" i="1"/>
  <c r="F328" i="1"/>
  <c r="E328" i="1"/>
  <c r="L327" i="1"/>
  <c r="K327" i="1"/>
  <c r="F327" i="1"/>
  <c r="E327" i="1"/>
  <c r="L326" i="1"/>
  <c r="K326" i="1"/>
  <c r="F326" i="1"/>
  <c r="E326" i="1"/>
  <c r="L325" i="1"/>
  <c r="K325" i="1"/>
  <c r="F325" i="1"/>
  <c r="E325" i="1"/>
  <c r="L324" i="1"/>
  <c r="K324" i="1"/>
  <c r="F324" i="1"/>
  <c r="E324" i="1"/>
  <c r="L323" i="1"/>
  <c r="K323" i="1"/>
  <c r="F323" i="1"/>
  <c r="E323" i="1"/>
  <c r="L322" i="1"/>
  <c r="K322" i="1"/>
  <c r="F322" i="1"/>
  <c r="E322" i="1"/>
  <c r="L321" i="1"/>
  <c r="K321" i="1"/>
  <c r="F321" i="1"/>
  <c r="E321" i="1"/>
  <c r="L320" i="1"/>
  <c r="K320" i="1"/>
  <c r="F320" i="1"/>
  <c r="E320" i="1"/>
  <c r="L319" i="1"/>
  <c r="K319" i="1"/>
  <c r="F319" i="1"/>
  <c r="E319" i="1"/>
  <c r="L318" i="1"/>
  <c r="K318" i="1"/>
  <c r="F318" i="1"/>
  <c r="E318" i="1"/>
  <c r="L317" i="1"/>
  <c r="K317" i="1"/>
  <c r="F317" i="1"/>
  <c r="E317" i="1"/>
  <c r="L316" i="1"/>
  <c r="K316" i="1"/>
  <c r="F316" i="1"/>
  <c r="E316" i="1"/>
  <c r="L315" i="1"/>
  <c r="K315" i="1"/>
  <c r="F315" i="1"/>
  <c r="E315" i="1"/>
  <c r="L314" i="1"/>
  <c r="K314" i="1"/>
  <c r="F314" i="1"/>
  <c r="E314" i="1"/>
  <c r="L313" i="1"/>
  <c r="K313" i="1"/>
  <c r="F313" i="1"/>
  <c r="E313" i="1"/>
  <c r="L312" i="1"/>
  <c r="K312" i="1"/>
  <c r="F312" i="1"/>
  <c r="E312" i="1"/>
  <c r="L311" i="1"/>
  <c r="K311" i="1"/>
  <c r="F311" i="1"/>
  <c r="E311" i="1"/>
  <c r="L310" i="1"/>
  <c r="K310" i="1"/>
  <c r="F310" i="1"/>
  <c r="E310" i="1"/>
  <c r="L309" i="1"/>
  <c r="K309" i="1"/>
  <c r="F309" i="1"/>
  <c r="E309" i="1"/>
  <c r="L308" i="1"/>
  <c r="K308" i="1"/>
  <c r="F308" i="1"/>
  <c r="E308" i="1"/>
  <c r="L307" i="1"/>
  <c r="K307" i="1"/>
  <c r="F307" i="1"/>
  <c r="E307" i="1"/>
  <c r="L306" i="1"/>
  <c r="K306" i="1"/>
  <c r="F306" i="1"/>
  <c r="E306" i="1"/>
  <c r="L305" i="1"/>
  <c r="K305" i="1"/>
  <c r="F305" i="1"/>
  <c r="E305" i="1"/>
  <c r="L304" i="1"/>
  <c r="K304" i="1"/>
  <c r="F304" i="1"/>
  <c r="E304" i="1"/>
  <c r="L303" i="1"/>
  <c r="K303" i="1"/>
  <c r="F303" i="1"/>
  <c r="E303" i="1"/>
  <c r="L302" i="1"/>
  <c r="K302" i="1"/>
  <c r="F302" i="1"/>
  <c r="E302" i="1"/>
  <c r="L301" i="1"/>
  <c r="K301" i="1"/>
  <c r="F301" i="1"/>
  <c r="E301" i="1"/>
  <c r="L300" i="1"/>
  <c r="K300" i="1"/>
  <c r="F300" i="1"/>
  <c r="E300" i="1"/>
  <c r="L299" i="1"/>
  <c r="K299" i="1"/>
  <c r="F299" i="1"/>
  <c r="E299" i="1"/>
  <c r="L298" i="1"/>
  <c r="K298" i="1"/>
  <c r="F298" i="1"/>
  <c r="E298" i="1"/>
  <c r="L297" i="1"/>
  <c r="K297" i="1"/>
  <c r="F297" i="1"/>
  <c r="E297" i="1"/>
  <c r="L296" i="1"/>
  <c r="K296" i="1"/>
  <c r="F296" i="1"/>
  <c r="E296" i="1"/>
  <c r="L295" i="1"/>
  <c r="K295" i="1"/>
  <c r="F295" i="1"/>
  <c r="E295" i="1"/>
  <c r="L294" i="1"/>
  <c r="K294" i="1"/>
  <c r="F294" i="1"/>
  <c r="E294" i="1"/>
  <c r="L293" i="1"/>
  <c r="K293" i="1"/>
  <c r="F293" i="1"/>
  <c r="E293" i="1"/>
  <c r="L292" i="1"/>
  <c r="K292" i="1"/>
  <c r="F292" i="1"/>
  <c r="E292" i="1"/>
  <c r="L291" i="1"/>
  <c r="K291" i="1"/>
  <c r="F291" i="1"/>
  <c r="E291" i="1"/>
  <c r="L290" i="1"/>
  <c r="K290" i="1"/>
  <c r="F290" i="1"/>
  <c r="E290" i="1"/>
  <c r="L289" i="1"/>
  <c r="K289" i="1"/>
  <c r="F289" i="1"/>
  <c r="E289" i="1"/>
  <c r="L288" i="1"/>
  <c r="K288" i="1"/>
  <c r="F288" i="1"/>
  <c r="E288" i="1"/>
  <c r="L287" i="1"/>
  <c r="K287" i="1"/>
  <c r="F287" i="1"/>
  <c r="E287" i="1"/>
  <c r="L286" i="1"/>
  <c r="K286" i="1"/>
  <c r="F286" i="1"/>
  <c r="E286" i="1"/>
  <c r="L285" i="1"/>
  <c r="K285" i="1"/>
  <c r="F285" i="1"/>
  <c r="E285" i="1"/>
  <c r="L284" i="1"/>
  <c r="K284" i="1"/>
  <c r="F284" i="1"/>
  <c r="E284" i="1"/>
  <c r="L283" i="1"/>
  <c r="K283" i="1"/>
  <c r="F283" i="1"/>
  <c r="E283" i="1"/>
  <c r="L282" i="1"/>
  <c r="K282" i="1"/>
  <c r="F282" i="1"/>
  <c r="E282" i="1"/>
  <c r="L281" i="1"/>
  <c r="K281" i="1"/>
  <c r="F281" i="1"/>
  <c r="E281" i="1"/>
  <c r="L280" i="1"/>
  <c r="K280" i="1"/>
  <c r="F280" i="1"/>
  <c r="E280" i="1"/>
  <c r="L279" i="1"/>
  <c r="K279" i="1"/>
  <c r="F279" i="1"/>
  <c r="E279" i="1"/>
  <c r="L278" i="1"/>
  <c r="K278" i="1"/>
  <c r="F278" i="1"/>
  <c r="E278" i="1"/>
  <c r="L277" i="1"/>
  <c r="K277" i="1"/>
  <c r="F277" i="1"/>
  <c r="E277" i="1"/>
  <c r="L276" i="1"/>
  <c r="K276" i="1"/>
  <c r="F276" i="1"/>
  <c r="E276" i="1"/>
  <c r="L275" i="1"/>
  <c r="K275" i="1"/>
  <c r="F275" i="1"/>
  <c r="E275" i="1"/>
  <c r="L274" i="1"/>
  <c r="K274" i="1"/>
  <c r="F274" i="1"/>
  <c r="E274" i="1"/>
  <c r="L273" i="1"/>
  <c r="K273" i="1"/>
  <c r="F273" i="1"/>
  <c r="E273" i="1"/>
  <c r="L272" i="1"/>
  <c r="K272" i="1"/>
  <c r="F272" i="1"/>
  <c r="E272" i="1"/>
  <c r="L271" i="1"/>
  <c r="K271" i="1"/>
  <c r="F271" i="1"/>
  <c r="E271" i="1"/>
  <c r="L270" i="1"/>
  <c r="K270" i="1"/>
  <c r="F270" i="1"/>
  <c r="E270" i="1"/>
  <c r="L269" i="1"/>
  <c r="K269" i="1"/>
  <c r="F269" i="1"/>
  <c r="E269" i="1"/>
  <c r="L268" i="1"/>
  <c r="K268" i="1"/>
  <c r="F268" i="1"/>
  <c r="E268" i="1"/>
  <c r="L267" i="1"/>
  <c r="K267" i="1"/>
  <c r="F267" i="1"/>
  <c r="E267" i="1"/>
  <c r="L266" i="1"/>
  <c r="K266" i="1"/>
  <c r="F266" i="1"/>
  <c r="E266" i="1"/>
  <c r="L265" i="1"/>
  <c r="K265" i="1"/>
  <c r="F265" i="1"/>
  <c r="E265" i="1"/>
  <c r="L264" i="1"/>
  <c r="K264" i="1"/>
  <c r="F264" i="1"/>
  <c r="E264" i="1"/>
  <c r="L263" i="1"/>
  <c r="K263" i="1"/>
  <c r="F263" i="1"/>
  <c r="E263" i="1"/>
  <c r="L262" i="1"/>
  <c r="K262" i="1"/>
  <c r="F262" i="1"/>
  <c r="E262" i="1"/>
  <c r="L261" i="1"/>
  <c r="K261" i="1"/>
  <c r="F261" i="1"/>
  <c r="E261" i="1"/>
  <c r="L260" i="1"/>
  <c r="K260" i="1"/>
  <c r="F260" i="1"/>
  <c r="E260" i="1"/>
  <c r="L259" i="1"/>
  <c r="K259" i="1"/>
  <c r="F259" i="1"/>
  <c r="E259" i="1"/>
  <c r="L258" i="1"/>
  <c r="K258" i="1"/>
  <c r="F258" i="1"/>
  <c r="E258" i="1"/>
  <c r="L257" i="1"/>
  <c r="K257" i="1"/>
  <c r="F257" i="1"/>
  <c r="E257" i="1"/>
  <c r="L256" i="1"/>
  <c r="K256" i="1"/>
  <c r="F256" i="1"/>
  <c r="E256" i="1"/>
  <c r="L255" i="1"/>
  <c r="K255" i="1"/>
  <c r="F255" i="1"/>
  <c r="E255" i="1"/>
  <c r="L254" i="1"/>
  <c r="K254" i="1"/>
  <c r="F254" i="1"/>
  <c r="E254" i="1"/>
  <c r="L253" i="1"/>
  <c r="K253" i="1"/>
  <c r="F253" i="1"/>
  <c r="E253" i="1"/>
  <c r="L252" i="1"/>
  <c r="K252" i="1"/>
  <c r="F252" i="1"/>
  <c r="E252" i="1"/>
  <c r="L251" i="1"/>
  <c r="K251" i="1"/>
  <c r="F251" i="1"/>
  <c r="E251" i="1"/>
  <c r="L250" i="1"/>
  <c r="K250" i="1"/>
  <c r="F250" i="1"/>
  <c r="E250" i="1"/>
  <c r="L249" i="1"/>
  <c r="K249" i="1"/>
  <c r="F249" i="1"/>
  <c r="E249" i="1"/>
  <c r="L248" i="1"/>
  <c r="K248" i="1"/>
  <c r="F248" i="1"/>
  <c r="E248" i="1"/>
  <c r="L247" i="1"/>
  <c r="K247" i="1"/>
  <c r="F247" i="1"/>
  <c r="E247" i="1"/>
  <c r="L246" i="1"/>
  <c r="K246" i="1"/>
  <c r="F246" i="1"/>
  <c r="E246" i="1"/>
  <c r="L245" i="1"/>
  <c r="K245" i="1"/>
  <c r="F245" i="1"/>
  <c r="E245" i="1"/>
  <c r="L244" i="1"/>
  <c r="K244" i="1"/>
  <c r="F244" i="1"/>
  <c r="E244" i="1"/>
  <c r="L243" i="1"/>
  <c r="K243" i="1"/>
  <c r="F243" i="1"/>
  <c r="E243" i="1"/>
  <c r="L242" i="1"/>
  <c r="K242" i="1"/>
  <c r="F242" i="1"/>
  <c r="E242" i="1"/>
  <c r="L241" i="1"/>
  <c r="K241" i="1"/>
  <c r="F241" i="1"/>
  <c r="E241" i="1"/>
  <c r="L240" i="1"/>
  <c r="K240" i="1"/>
  <c r="F240" i="1"/>
  <c r="E240" i="1"/>
  <c r="L239" i="1"/>
  <c r="K239" i="1"/>
  <c r="F239" i="1"/>
  <c r="E239" i="1"/>
  <c r="L238" i="1"/>
  <c r="K238" i="1"/>
  <c r="F238" i="1"/>
  <c r="E238" i="1"/>
  <c r="L237" i="1"/>
  <c r="K237" i="1"/>
  <c r="F237" i="1"/>
  <c r="E237" i="1"/>
  <c r="L236" i="1"/>
  <c r="K236" i="1"/>
  <c r="F236" i="1"/>
  <c r="E236" i="1"/>
  <c r="L235" i="1"/>
  <c r="K235" i="1"/>
  <c r="F235" i="1"/>
  <c r="E235" i="1"/>
  <c r="L234" i="1"/>
  <c r="K234" i="1"/>
  <c r="F234" i="1"/>
  <c r="E234" i="1"/>
  <c r="L233" i="1"/>
  <c r="K233" i="1"/>
  <c r="F233" i="1"/>
  <c r="E233" i="1"/>
  <c r="L232" i="1"/>
  <c r="K232" i="1"/>
  <c r="F232" i="1"/>
  <c r="E232" i="1"/>
  <c r="L231" i="1"/>
  <c r="K231" i="1"/>
  <c r="F231" i="1"/>
  <c r="E231" i="1"/>
  <c r="L230" i="1"/>
  <c r="K230" i="1"/>
  <c r="F230" i="1"/>
  <c r="E230" i="1"/>
  <c r="L229" i="1"/>
  <c r="K229" i="1"/>
  <c r="F229" i="1"/>
  <c r="E229" i="1"/>
  <c r="L228" i="1"/>
  <c r="K228" i="1"/>
  <c r="F228" i="1"/>
  <c r="E228" i="1"/>
  <c r="L227" i="1"/>
  <c r="K227" i="1"/>
  <c r="F227" i="1"/>
  <c r="E227" i="1"/>
  <c r="L226" i="1"/>
  <c r="K226" i="1"/>
  <c r="F226" i="1"/>
  <c r="E226" i="1"/>
  <c r="L225" i="1"/>
  <c r="K225" i="1"/>
  <c r="F225" i="1"/>
  <c r="E225" i="1"/>
  <c r="L224" i="1"/>
  <c r="K224" i="1"/>
  <c r="F224" i="1"/>
  <c r="E224" i="1"/>
  <c r="L223" i="1"/>
  <c r="K223" i="1"/>
  <c r="F223" i="1"/>
  <c r="E223" i="1"/>
  <c r="L222" i="1"/>
  <c r="K222" i="1"/>
  <c r="F222" i="1"/>
  <c r="E222" i="1"/>
  <c r="L221" i="1"/>
  <c r="K221" i="1"/>
  <c r="F221" i="1"/>
  <c r="E221" i="1"/>
  <c r="L220" i="1"/>
  <c r="K220" i="1"/>
  <c r="F220" i="1"/>
  <c r="E220" i="1"/>
  <c r="L219" i="1"/>
  <c r="K219" i="1"/>
  <c r="F219" i="1"/>
  <c r="E219" i="1"/>
  <c r="L218" i="1"/>
  <c r="K218" i="1"/>
  <c r="F218" i="1"/>
  <c r="E218" i="1"/>
  <c r="L217" i="1"/>
  <c r="K217" i="1"/>
  <c r="F217" i="1"/>
  <c r="E217" i="1"/>
  <c r="L216" i="1"/>
  <c r="K216" i="1"/>
  <c r="F216" i="1"/>
  <c r="E216" i="1"/>
  <c r="L215" i="1"/>
  <c r="K215" i="1"/>
  <c r="F215" i="1"/>
  <c r="E215" i="1"/>
  <c r="L214" i="1"/>
  <c r="K214" i="1"/>
  <c r="F214" i="1"/>
  <c r="E214" i="1"/>
  <c r="L213" i="1"/>
  <c r="K213" i="1"/>
  <c r="F213" i="1"/>
  <c r="E213" i="1"/>
  <c r="L212" i="1"/>
  <c r="K212" i="1"/>
  <c r="F212" i="1"/>
  <c r="E212" i="1"/>
  <c r="L211" i="1"/>
  <c r="K211" i="1"/>
  <c r="F211" i="1"/>
  <c r="E211" i="1"/>
  <c r="L210" i="1"/>
  <c r="K210" i="1"/>
  <c r="F210" i="1"/>
  <c r="E210" i="1"/>
  <c r="L209" i="1"/>
  <c r="K209" i="1"/>
  <c r="F209" i="1"/>
  <c r="E209" i="1"/>
  <c r="L208" i="1"/>
  <c r="K208" i="1"/>
  <c r="F208" i="1"/>
  <c r="E208" i="1"/>
  <c r="L207" i="1"/>
  <c r="K207" i="1"/>
  <c r="F207" i="1"/>
  <c r="E207" i="1"/>
  <c r="L206" i="1"/>
  <c r="K206" i="1"/>
  <c r="F206" i="1"/>
  <c r="E206" i="1"/>
  <c r="L205" i="1"/>
  <c r="K205" i="1"/>
  <c r="F205" i="1"/>
  <c r="E205" i="1"/>
  <c r="L204" i="1"/>
  <c r="K204" i="1"/>
  <c r="F204" i="1"/>
  <c r="E204" i="1"/>
  <c r="L203" i="1"/>
  <c r="K203" i="1"/>
  <c r="F203" i="1"/>
  <c r="E203" i="1"/>
  <c r="L202" i="1"/>
  <c r="K202" i="1"/>
  <c r="F202" i="1"/>
  <c r="E202" i="1"/>
  <c r="L201" i="1"/>
  <c r="K201" i="1"/>
  <c r="F201" i="1"/>
  <c r="E201" i="1"/>
  <c r="L200" i="1"/>
  <c r="K200" i="1"/>
  <c r="F200" i="1"/>
  <c r="E200" i="1"/>
  <c r="L199" i="1"/>
  <c r="K199" i="1"/>
  <c r="F199" i="1"/>
  <c r="E199" i="1"/>
  <c r="L198" i="1"/>
  <c r="K198" i="1"/>
  <c r="F198" i="1"/>
  <c r="E198" i="1"/>
  <c r="L197" i="1"/>
  <c r="K197" i="1"/>
  <c r="F197" i="1"/>
  <c r="E197" i="1"/>
  <c r="L196" i="1"/>
  <c r="K196" i="1"/>
  <c r="F196" i="1"/>
  <c r="E196" i="1"/>
  <c r="L195" i="1"/>
  <c r="K195" i="1"/>
  <c r="F195" i="1"/>
  <c r="E195" i="1"/>
  <c r="L194" i="1"/>
  <c r="K194" i="1"/>
  <c r="F194" i="1"/>
  <c r="E194" i="1"/>
  <c r="L193" i="1"/>
  <c r="K193" i="1"/>
  <c r="F193" i="1"/>
  <c r="E193" i="1"/>
  <c r="L192" i="1"/>
  <c r="K192" i="1"/>
  <c r="F192" i="1"/>
  <c r="E192" i="1"/>
  <c r="L191" i="1"/>
  <c r="K191" i="1"/>
  <c r="F191" i="1"/>
  <c r="E191" i="1"/>
  <c r="L190" i="1"/>
  <c r="K190" i="1"/>
  <c r="F190" i="1"/>
  <c r="E190" i="1"/>
  <c r="L189" i="1"/>
  <c r="K189" i="1"/>
  <c r="F189" i="1"/>
  <c r="E189" i="1"/>
  <c r="L188" i="1"/>
  <c r="K188" i="1"/>
  <c r="F188" i="1"/>
  <c r="E188" i="1"/>
  <c r="L187" i="1"/>
  <c r="K187" i="1"/>
  <c r="F187" i="1"/>
  <c r="E187" i="1"/>
  <c r="L186" i="1"/>
  <c r="K186" i="1"/>
  <c r="F186" i="1"/>
  <c r="E186" i="1"/>
  <c r="L185" i="1"/>
  <c r="K185" i="1"/>
  <c r="F185" i="1"/>
  <c r="E185" i="1"/>
  <c r="L184" i="1"/>
  <c r="K184" i="1"/>
  <c r="F184" i="1"/>
  <c r="E184" i="1"/>
  <c r="L183" i="1"/>
  <c r="K183" i="1"/>
  <c r="F183" i="1"/>
  <c r="E183" i="1"/>
  <c r="L182" i="1"/>
  <c r="K182" i="1"/>
  <c r="F182" i="1"/>
  <c r="E182" i="1"/>
  <c r="L181" i="1"/>
  <c r="K181" i="1"/>
  <c r="F181" i="1"/>
  <c r="E181" i="1"/>
  <c r="L180" i="1"/>
  <c r="K180" i="1"/>
  <c r="F180" i="1"/>
  <c r="E180" i="1"/>
  <c r="L179" i="1"/>
  <c r="K179" i="1"/>
  <c r="F179" i="1"/>
  <c r="E179" i="1"/>
  <c r="L178" i="1"/>
  <c r="K178" i="1"/>
  <c r="F178" i="1"/>
  <c r="E178" i="1"/>
  <c r="L177" i="1"/>
  <c r="K177" i="1"/>
  <c r="F177" i="1"/>
  <c r="E177" i="1"/>
  <c r="L176" i="1"/>
  <c r="K176" i="1"/>
  <c r="F176" i="1"/>
  <c r="E176" i="1"/>
  <c r="L175" i="1"/>
  <c r="K175" i="1"/>
  <c r="F175" i="1"/>
  <c r="E175" i="1"/>
  <c r="L174" i="1"/>
  <c r="K174" i="1"/>
  <c r="F174" i="1"/>
  <c r="E174" i="1"/>
  <c r="L173" i="1"/>
  <c r="K173" i="1"/>
  <c r="F173" i="1"/>
  <c r="E173" i="1"/>
  <c r="L172" i="1"/>
  <c r="K172" i="1"/>
  <c r="F172" i="1"/>
  <c r="E172" i="1"/>
  <c r="L171" i="1"/>
  <c r="K171" i="1"/>
  <c r="F171" i="1"/>
  <c r="E171" i="1"/>
  <c r="L170" i="1"/>
  <c r="K170" i="1"/>
  <c r="F170" i="1"/>
  <c r="E170" i="1"/>
  <c r="L169" i="1"/>
  <c r="K169" i="1"/>
  <c r="F169" i="1"/>
  <c r="E169" i="1"/>
  <c r="L168" i="1"/>
  <c r="K168" i="1"/>
  <c r="F168" i="1"/>
  <c r="E168" i="1"/>
  <c r="L167" i="1"/>
  <c r="K167" i="1"/>
  <c r="F167" i="1"/>
  <c r="E167" i="1"/>
  <c r="L166" i="1"/>
  <c r="K166" i="1"/>
  <c r="F166" i="1"/>
  <c r="E166" i="1"/>
  <c r="L165" i="1"/>
  <c r="K165" i="1"/>
  <c r="F165" i="1"/>
  <c r="E165" i="1"/>
  <c r="L164" i="1"/>
  <c r="K164" i="1"/>
  <c r="F164" i="1"/>
  <c r="E164" i="1"/>
  <c r="L163" i="1"/>
  <c r="K163" i="1"/>
  <c r="F163" i="1"/>
  <c r="E163" i="1"/>
  <c r="L162" i="1"/>
  <c r="K162" i="1"/>
  <c r="F162" i="1"/>
  <c r="E162" i="1"/>
  <c r="L161" i="1"/>
  <c r="K161" i="1"/>
  <c r="F161" i="1"/>
  <c r="E161" i="1"/>
  <c r="L160" i="1"/>
  <c r="K160" i="1"/>
  <c r="F160" i="1"/>
  <c r="E160" i="1"/>
  <c r="L159" i="1"/>
  <c r="K159" i="1"/>
  <c r="F159" i="1"/>
  <c r="E159" i="1"/>
  <c r="L158" i="1"/>
  <c r="K158" i="1"/>
  <c r="F158" i="1"/>
  <c r="E158" i="1"/>
  <c r="L157" i="1"/>
  <c r="K157" i="1"/>
  <c r="F157" i="1"/>
  <c r="E157" i="1"/>
  <c r="L156" i="1"/>
  <c r="K156" i="1"/>
  <c r="F156" i="1"/>
  <c r="E156" i="1"/>
  <c r="L155" i="1"/>
  <c r="K155" i="1"/>
  <c r="F155" i="1"/>
  <c r="E155" i="1"/>
  <c r="L154" i="1"/>
  <c r="K154" i="1"/>
  <c r="F154" i="1"/>
  <c r="E154" i="1"/>
  <c r="L153" i="1"/>
  <c r="K153" i="1"/>
  <c r="F153" i="1"/>
  <c r="E153" i="1"/>
  <c r="L152" i="1"/>
  <c r="K152" i="1"/>
  <c r="F152" i="1"/>
  <c r="E152" i="1"/>
  <c r="L151" i="1"/>
  <c r="K151" i="1"/>
  <c r="F151" i="1"/>
  <c r="E151" i="1"/>
  <c r="L150" i="1"/>
  <c r="K150" i="1"/>
  <c r="F150" i="1"/>
  <c r="E150" i="1"/>
  <c r="L149" i="1"/>
  <c r="K149" i="1"/>
  <c r="F149" i="1"/>
  <c r="E149" i="1"/>
  <c r="L148" i="1"/>
  <c r="K148" i="1"/>
  <c r="F148" i="1"/>
  <c r="E148" i="1"/>
  <c r="L147" i="1"/>
  <c r="K147" i="1"/>
  <c r="F147" i="1"/>
  <c r="E147" i="1"/>
  <c r="L146" i="1"/>
  <c r="K146" i="1"/>
  <c r="F146" i="1"/>
  <c r="E146" i="1"/>
  <c r="L145" i="1"/>
  <c r="K145" i="1"/>
  <c r="F145" i="1"/>
  <c r="E145" i="1"/>
  <c r="L144" i="1"/>
  <c r="K144" i="1"/>
  <c r="F144" i="1"/>
  <c r="E144" i="1"/>
  <c r="L143" i="1"/>
  <c r="K143" i="1"/>
  <c r="F143" i="1"/>
  <c r="E143" i="1"/>
  <c r="L142" i="1"/>
  <c r="K142" i="1"/>
  <c r="F142" i="1"/>
  <c r="E142" i="1"/>
  <c r="L141" i="1"/>
  <c r="K141" i="1"/>
  <c r="F141" i="1"/>
  <c r="E141" i="1"/>
  <c r="L140" i="1"/>
  <c r="K140" i="1"/>
  <c r="F140" i="1"/>
  <c r="E140" i="1"/>
  <c r="L139" i="1"/>
  <c r="K139" i="1"/>
  <c r="F139" i="1"/>
  <c r="E139" i="1"/>
  <c r="L138" i="1"/>
  <c r="K138" i="1"/>
  <c r="F138" i="1"/>
  <c r="E138" i="1"/>
  <c r="L137" i="1"/>
  <c r="K137" i="1"/>
  <c r="F137" i="1"/>
  <c r="E137" i="1"/>
  <c r="L136" i="1"/>
  <c r="K136" i="1"/>
  <c r="F136" i="1"/>
  <c r="E136" i="1"/>
  <c r="L135" i="1"/>
  <c r="K135" i="1"/>
  <c r="F135" i="1"/>
  <c r="E135" i="1"/>
  <c r="L134" i="1"/>
  <c r="K134" i="1"/>
  <c r="F134" i="1"/>
  <c r="E134" i="1"/>
  <c r="L133" i="1"/>
  <c r="K133" i="1"/>
  <c r="F133" i="1"/>
  <c r="E133" i="1"/>
  <c r="L132" i="1"/>
  <c r="K132" i="1"/>
  <c r="F132" i="1"/>
  <c r="E132" i="1"/>
  <c r="L131" i="1"/>
  <c r="K131" i="1"/>
  <c r="F131" i="1"/>
  <c r="E131" i="1"/>
  <c r="L130" i="1"/>
  <c r="K130" i="1"/>
  <c r="F130" i="1"/>
  <c r="E130" i="1"/>
  <c r="L129" i="1"/>
  <c r="K129" i="1"/>
  <c r="F129" i="1"/>
  <c r="E129" i="1"/>
  <c r="L128" i="1"/>
  <c r="K128" i="1"/>
  <c r="F128" i="1"/>
  <c r="E128" i="1"/>
  <c r="L127" i="1"/>
  <c r="K127" i="1"/>
  <c r="F127" i="1"/>
  <c r="E127" i="1"/>
  <c r="L126" i="1"/>
  <c r="K126" i="1"/>
  <c r="F126" i="1"/>
  <c r="E126" i="1"/>
  <c r="L125" i="1"/>
  <c r="K125" i="1"/>
  <c r="F125" i="1"/>
  <c r="E125" i="1"/>
  <c r="L124" i="1"/>
  <c r="K124" i="1"/>
  <c r="F124" i="1"/>
  <c r="E124" i="1"/>
  <c r="L123" i="1"/>
  <c r="K123" i="1"/>
  <c r="F123" i="1"/>
  <c r="E123" i="1"/>
  <c r="L122" i="1"/>
  <c r="K122" i="1"/>
  <c r="F122" i="1"/>
  <c r="E122" i="1"/>
  <c r="L121" i="1"/>
  <c r="K121" i="1"/>
  <c r="F121" i="1"/>
  <c r="E121" i="1"/>
  <c r="L120" i="1"/>
  <c r="K120" i="1"/>
  <c r="F120" i="1"/>
  <c r="E120" i="1"/>
  <c r="L119" i="1"/>
  <c r="K119" i="1"/>
  <c r="F119" i="1"/>
  <c r="E119" i="1"/>
  <c r="L118" i="1"/>
  <c r="K118" i="1"/>
  <c r="F118" i="1"/>
  <c r="E118" i="1"/>
  <c r="L117" i="1"/>
  <c r="K117" i="1"/>
  <c r="F117" i="1"/>
  <c r="E117" i="1"/>
  <c r="L116" i="1"/>
  <c r="K116" i="1"/>
  <c r="F116" i="1"/>
  <c r="E116" i="1"/>
  <c r="L115" i="1"/>
  <c r="K115" i="1"/>
  <c r="F115" i="1"/>
  <c r="E115" i="1"/>
  <c r="L114" i="1"/>
  <c r="K114" i="1"/>
  <c r="F114" i="1"/>
  <c r="E114" i="1"/>
  <c r="L113" i="1"/>
  <c r="K113" i="1"/>
  <c r="F113" i="1"/>
  <c r="E113" i="1"/>
  <c r="L112" i="1"/>
  <c r="K112" i="1"/>
  <c r="F112" i="1"/>
  <c r="E112" i="1"/>
  <c r="L111" i="1"/>
  <c r="K111" i="1"/>
  <c r="F111" i="1"/>
  <c r="E111" i="1"/>
  <c r="L110" i="1"/>
  <c r="K110" i="1"/>
  <c r="F110" i="1"/>
  <c r="E110" i="1"/>
  <c r="L109" i="1"/>
  <c r="K109" i="1"/>
  <c r="F109" i="1"/>
  <c r="E109" i="1"/>
  <c r="L108" i="1"/>
  <c r="K108" i="1"/>
  <c r="F108" i="1"/>
  <c r="E108" i="1"/>
  <c r="L107" i="1"/>
  <c r="K107" i="1"/>
  <c r="F107" i="1"/>
  <c r="E107" i="1"/>
  <c r="L106" i="1"/>
  <c r="K106" i="1"/>
  <c r="F106" i="1"/>
  <c r="E106" i="1"/>
  <c r="L105" i="1"/>
  <c r="K105" i="1"/>
  <c r="F105" i="1"/>
  <c r="E105" i="1"/>
  <c r="L104" i="1"/>
  <c r="K104" i="1"/>
  <c r="F104" i="1"/>
  <c r="E104" i="1"/>
  <c r="L103" i="1"/>
  <c r="K103" i="1"/>
  <c r="F103" i="1"/>
  <c r="E103" i="1"/>
  <c r="L102" i="1"/>
  <c r="K102" i="1"/>
  <c r="F102" i="1"/>
  <c r="E102" i="1"/>
  <c r="L101" i="1"/>
  <c r="K101" i="1"/>
  <c r="F101" i="1"/>
  <c r="E101" i="1"/>
  <c r="L100" i="1"/>
  <c r="K100" i="1"/>
  <c r="F100" i="1"/>
  <c r="E100" i="1"/>
  <c r="L99" i="1"/>
  <c r="K99" i="1"/>
  <c r="F99" i="1"/>
  <c r="E99" i="1"/>
  <c r="L98" i="1"/>
  <c r="K98" i="1"/>
  <c r="F98" i="1"/>
  <c r="E98" i="1"/>
  <c r="L97" i="1"/>
  <c r="K97" i="1"/>
  <c r="F97" i="1"/>
  <c r="E97" i="1"/>
  <c r="L96" i="1"/>
  <c r="K96" i="1"/>
  <c r="F96" i="1"/>
  <c r="E96" i="1"/>
  <c r="L95" i="1"/>
  <c r="K95" i="1"/>
  <c r="F95" i="1"/>
  <c r="E95" i="1"/>
  <c r="L94" i="1"/>
  <c r="K94" i="1"/>
  <c r="F94" i="1"/>
  <c r="E94" i="1"/>
  <c r="L93" i="1"/>
  <c r="K93" i="1"/>
  <c r="F93" i="1"/>
  <c r="E93" i="1"/>
  <c r="L92" i="1"/>
  <c r="K92" i="1"/>
  <c r="F92" i="1"/>
  <c r="E92" i="1"/>
  <c r="L91" i="1"/>
  <c r="K91" i="1"/>
  <c r="F91" i="1"/>
  <c r="E91" i="1"/>
  <c r="L90" i="1"/>
  <c r="K90" i="1"/>
  <c r="F90" i="1"/>
  <c r="E90" i="1"/>
  <c r="L89" i="1"/>
  <c r="K89" i="1"/>
  <c r="F89" i="1"/>
  <c r="E89" i="1"/>
  <c r="L88" i="1"/>
  <c r="K88" i="1"/>
  <c r="F88" i="1"/>
  <c r="E88" i="1"/>
  <c r="L87" i="1"/>
  <c r="K87" i="1"/>
  <c r="F87" i="1"/>
  <c r="E87" i="1"/>
  <c r="L86" i="1"/>
  <c r="K86" i="1"/>
  <c r="F86" i="1"/>
  <c r="E86" i="1"/>
  <c r="L85" i="1"/>
  <c r="K85" i="1"/>
  <c r="F85" i="1"/>
  <c r="E85" i="1"/>
  <c r="L84" i="1"/>
  <c r="K84" i="1"/>
  <c r="F84" i="1"/>
  <c r="E84" i="1"/>
  <c r="L83" i="1"/>
  <c r="K83" i="1"/>
  <c r="F83" i="1"/>
  <c r="E83" i="1"/>
  <c r="L82" i="1"/>
  <c r="K82" i="1"/>
  <c r="F82" i="1"/>
  <c r="E82" i="1"/>
  <c r="L81" i="1"/>
  <c r="K81" i="1"/>
  <c r="F81" i="1"/>
  <c r="E81" i="1"/>
  <c r="L80" i="1"/>
  <c r="K80" i="1"/>
  <c r="F80" i="1"/>
  <c r="E80" i="1"/>
  <c r="L79" i="1"/>
  <c r="K79" i="1"/>
  <c r="F79" i="1"/>
  <c r="E79" i="1"/>
  <c r="L78" i="1"/>
  <c r="K78" i="1"/>
  <c r="F78" i="1"/>
  <c r="E78" i="1"/>
  <c r="L77" i="1"/>
  <c r="K77" i="1"/>
  <c r="F77" i="1"/>
  <c r="E77" i="1"/>
  <c r="L76" i="1"/>
  <c r="K76" i="1"/>
  <c r="F76" i="1"/>
  <c r="E76" i="1"/>
  <c r="L75" i="1"/>
  <c r="K75" i="1"/>
  <c r="F75" i="1"/>
  <c r="E75" i="1"/>
  <c r="L74" i="1"/>
  <c r="K74" i="1"/>
  <c r="F74" i="1"/>
  <c r="E74" i="1"/>
  <c r="L70" i="1"/>
  <c r="K70" i="1"/>
  <c r="F70" i="1"/>
  <c r="E70" i="1"/>
  <c r="L69" i="1"/>
  <c r="K69" i="1"/>
  <c r="F69" i="1"/>
  <c r="E69" i="1"/>
  <c r="L68" i="1"/>
  <c r="K68" i="1"/>
  <c r="F68" i="1"/>
  <c r="E68" i="1"/>
  <c r="L67" i="1"/>
  <c r="K67" i="1"/>
  <c r="F67" i="1"/>
  <c r="E67" i="1"/>
  <c r="L66" i="1"/>
  <c r="K66" i="1"/>
  <c r="F66" i="1"/>
  <c r="E66" i="1"/>
  <c r="L65" i="1"/>
  <c r="K65" i="1"/>
  <c r="F65" i="1"/>
  <c r="E65" i="1"/>
  <c r="L64" i="1"/>
  <c r="K64" i="1"/>
  <c r="F64" i="1"/>
  <c r="E64" i="1"/>
  <c r="L63" i="1"/>
  <c r="K63" i="1"/>
  <c r="F63" i="1"/>
  <c r="E63" i="1"/>
  <c r="L62" i="1"/>
  <c r="K62" i="1"/>
  <c r="F62" i="1"/>
  <c r="E62" i="1"/>
  <c r="L61" i="1"/>
  <c r="K61" i="1"/>
  <c r="F61" i="1"/>
  <c r="E61" i="1"/>
  <c r="L60" i="1"/>
  <c r="K60" i="1"/>
  <c r="F60" i="1"/>
  <c r="E60" i="1"/>
  <c r="L59" i="1"/>
  <c r="K59" i="1"/>
  <c r="F59" i="1"/>
  <c r="E59" i="1"/>
  <c r="L58" i="1"/>
  <c r="K58" i="1"/>
  <c r="F58" i="1"/>
  <c r="E58" i="1"/>
  <c r="L57" i="1"/>
  <c r="K57" i="1"/>
  <c r="F57" i="1"/>
  <c r="E57" i="1"/>
  <c r="L56" i="1"/>
  <c r="K56" i="1"/>
  <c r="F56" i="1"/>
  <c r="E56" i="1"/>
  <c r="L55" i="1"/>
  <c r="K55" i="1"/>
  <c r="F55" i="1"/>
  <c r="E55" i="1"/>
  <c r="L54" i="1"/>
  <c r="K54" i="1"/>
  <c r="F54" i="1"/>
  <c r="E54" i="1"/>
  <c r="L53" i="1"/>
  <c r="K53" i="1"/>
  <c r="F53" i="1"/>
  <c r="E53" i="1"/>
  <c r="L52" i="1"/>
  <c r="K52" i="1"/>
  <c r="F52" i="1"/>
  <c r="E52" i="1"/>
  <c r="L51" i="1"/>
  <c r="K51" i="1"/>
  <c r="F51" i="1"/>
  <c r="E51" i="1"/>
  <c r="L50" i="1"/>
  <c r="K50" i="1"/>
  <c r="F50" i="1"/>
  <c r="E50" i="1"/>
  <c r="L49" i="1"/>
  <c r="K49" i="1"/>
  <c r="F49" i="1"/>
  <c r="E49" i="1"/>
  <c r="L48" i="1"/>
  <c r="K48" i="1"/>
  <c r="F48" i="1"/>
  <c r="E48" i="1"/>
  <c r="L47" i="1"/>
  <c r="K47" i="1"/>
  <c r="F47" i="1"/>
  <c r="E47" i="1"/>
  <c r="L46" i="1"/>
  <c r="K46" i="1"/>
  <c r="F46" i="1"/>
  <c r="E46" i="1"/>
  <c r="L45" i="1"/>
  <c r="K45" i="1"/>
  <c r="F45" i="1"/>
  <c r="E45" i="1"/>
  <c r="L44" i="1"/>
  <c r="K44" i="1"/>
  <c r="F44" i="1"/>
  <c r="E44" i="1"/>
  <c r="L43" i="1"/>
  <c r="K43" i="1"/>
  <c r="F43" i="1"/>
  <c r="E43" i="1"/>
  <c r="L42" i="1"/>
  <c r="K42" i="1"/>
  <c r="F42" i="1"/>
  <c r="E42" i="1"/>
  <c r="L41" i="1"/>
  <c r="K41" i="1"/>
  <c r="F41" i="1"/>
  <c r="E41" i="1"/>
  <c r="L40" i="1"/>
  <c r="K40" i="1"/>
  <c r="F40" i="1"/>
  <c r="E40" i="1"/>
  <c r="L39" i="1"/>
  <c r="K39" i="1"/>
  <c r="F39" i="1"/>
  <c r="E39" i="1"/>
  <c r="L38" i="1"/>
  <c r="K38" i="1"/>
  <c r="F38" i="1"/>
  <c r="E38" i="1"/>
  <c r="L37" i="1"/>
  <c r="K37" i="1"/>
  <c r="F37" i="1"/>
  <c r="E37" i="1"/>
  <c r="L36" i="1"/>
  <c r="K36" i="1"/>
  <c r="F36" i="1"/>
  <c r="E36" i="1"/>
  <c r="L35" i="1"/>
  <c r="K35" i="1"/>
  <c r="F35" i="1"/>
  <c r="E35" i="1"/>
  <c r="L34" i="1"/>
  <c r="K34" i="1"/>
  <c r="F34" i="1"/>
  <c r="E34" i="1"/>
  <c r="L33" i="1"/>
  <c r="K33" i="1"/>
  <c r="F33" i="1"/>
  <c r="E33" i="1"/>
  <c r="L32" i="1"/>
  <c r="K32" i="1"/>
  <c r="F32" i="1"/>
  <c r="E32" i="1"/>
  <c r="L31" i="1"/>
  <c r="K31" i="1"/>
  <c r="F31" i="1"/>
  <c r="E31" i="1"/>
  <c r="L30" i="1"/>
  <c r="K30" i="1"/>
  <c r="F30" i="1"/>
  <c r="E30" i="1"/>
  <c r="L29" i="1"/>
  <c r="K29" i="1"/>
  <c r="F29" i="1"/>
  <c r="E29" i="1"/>
  <c r="E21" i="1"/>
  <c r="F21" i="1"/>
  <c r="K21" i="1"/>
  <c r="L21" i="1"/>
  <c r="E22" i="1"/>
  <c r="F22" i="1"/>
  <c r="K22" i="1"/>
  <c r="L22" i="1"/>
  <c r="E23" i="1"/>
  <c r="F23" i="1"/>
  <c r="K23" i="1"/>
  <c r="L23" i="1"/>
  <c r="K24" i="1"/>
  <c r="L24" i="1"/>
  <c r="E25" i="1"/>
  <c r="F25" i="1"/>
  <c r="K25" i="1"/>
  <c r="L25" i="1"/>
  <c r="L20" i="1"/>
  <c r="K20" i="1"/>
  <c r="L7" i="1"/>
  <c r="E20" i="1" l="1"/>
  <c r="F20" i="1" s="1"/>
  <c r="E24" i="1"/>
  <c r="F24" i="1" s="1"/>
  <c r="L4" i="1"/>
  <c r="L5" i="1"/>
  <c r="L6" i="1" l="1"/>
</calcChain>
</file>

<file path=xl/sharedStrings.xml><?xml version="1.0" encoding="utf-8"?>
<sst xmlns="http://schemas.openxmlformats.org/spreadsheetml/2006/main" count="1280" uniqueCount="460">
  <si>
    <t>DESIGNATION DES OUVRAGES</t>
  </si>
  <si>
    <t>U</t>
  </si>
  <si>
    <t>QU</t>
  </si>
  <si>
    <t>ens</t>
  </si>
  <si>
    <t>ml</t>
  </si>
  <si>
    <t>u</t>
  </si>
  <si>
    <t>Prix
unitaire
en € HT</t>
  </si>
  <si>
    <t>Prix
total
en € HT</t>
  </si>
  <si>
    <t>Prix
par poste
en € HT</t>
  </si>
  <si>
    <t>Prix
par chapitre
en € HT</t>
  </si>
  <si>
    <t>Réf.</t>
  </si>
  <si>
    <t>NETTOYAGE ET PROTECTION DE CHANTIER</t>
  </si>
  <si>
    <t>inc</t>
  </si>
  <si>
    <t>Nettoyage, protection et sécurité du chantier</t>
  </si>
  <si>
    <t>TVA 20%</t>
  </si>
  <si>
    <t>L'entreprise vérifiera toutes les quantités et dimensions indiquées sur le bordereau qui sont données à titre indicatif. Il lui appartient de faire tous les changements de quantités selon son propre relevé. Avant de répondre à cet appel d'offre, l'entreprise devra effectuer une visite sur place afin d'intégrer toutes les difficultés et contraintes de passage sur place. Les entreprises ne pourront se prévaloir après le dépôt de leur offre, d'erreur ou d'omission aux plans, DPGF et aux textes du CCTP.
L'entreprise est libre d'apporter des compléments d'informations sur le présent CDPGF. L'entreprise répondra à l'ensemble des lignes de la présente CDPGF, même sur les quantités qu'elles considèrent nulles.</t>
  </si>
  <si>
    <t>2.2</t>
  </si>
  <si>
    <t>Logement Type T1 Studio</t>
  </si>
  <si>
    <t>Logement type T2</t>
  </si>
  <si>
    <t>Logement Type T3</t>
  </si>
  <si>
    <t>Logement Type T4</t>
  </si>
  <si>
    <t>Logement Type T5</t>
  </si>
  <si>
    <t>Distribution logement</t>
  </si>
  <si>
    <t>Descentes cloison</t>
  </si>
  <si>
    <t>appareillage (compris douille DCL et sonnette)</t>
  </si>
  <si>
    <t>Consuel</t>
  </si>
  <si>
    <t>pm</t>
  </si>
  <si>
    <t>LOGEMENTS SOCIAUX - LOT F1</t>
  </si>
  <si>
    <t>SOHO - LOT F1</t>
  </si>
  <si>
    <t>Colonnes Montantes Electriques Logements</t>
  </si>
  <si>
    <t>Distributeur d'arrivé 200A</t>
  </si>
  <si>
    <t>Distributeur d'arrivé 400A</t>
  </si>
  <si>
    <t>Distributeur de niveau 200A</t>
  </si>
  <si>
    <t>Distributeur de niveau 400A</t>
  </si>
  <si>
    <t>Disjoncteur de branchement</t>
  </si>
  <si>
    <t>Cache latéral distributeur 200A/400A</t>
  </si>
  <si>
    <t>Câblage colonne</t>
  </si>
  <si>
    <t>Câblage téléreport</t>
  </si>
  <si>
    <t>Câblage entre colonne et compteur logement</t>
  </si>
  <si>
    <t>Fourniture et pose du TGBT équipé</t>
  </si>
  <si>
    <t>Enveloppe, jeu de barre</t>
  </si>
  <si>
    <t>Protection des personnes et du matériel (disj. Magn. Therm. , DDR) de type débrochable</t>
  </si>
  <si>
    <t>Connexions, goulottes, borniers, plastrons</t>
  </si>
  <si>
    <t>Appareils de mesure, plans à jour sous pochette plastique</t>
  </si>
  <si>
    <t>…</t>
  </si>
  <si>
    <t xml:space="preserve">Centrale d'Alarme Technique </t>
  </si>
  <si>
    <t xml:space="preserve">Distribution </t>
  </si>
  <si>
    <t>Fourreaux</t>
  </si>
  <si>
    <t>Chemin de câbles courants forts</t>
  </si>
  <si>
    <t>Boîtes de dérivation</t>
  </si>
  <si>
    <t>Tube ICT</t>
  </si>
  <si>
    <t>Tube IRO</t>
  </si>
  <si>
    <t>Chemin de câbles courants faibles</t>
  </si>
  <si>
    <t>Détecteur autonome version saillie pour parking</t>
  </si>
  <si>
    <t>Appareillage SGX</t>
  </si>
  <si>
    <t>Eclairage SGX</t>
  </si>
  <si>
    <t>Alimentation circuits d'éclairage</t>
  </si>
  <si>
    <t xml:space="preserve">Alimentation blocs d'éclairage de sécurité </t>
  </si>
  <si>
    <t>Prise de Courant 16A 2P+T Etanche pour locaux techniques, sur chaque palier en gaine, …</t>
  </si>
  <si>
    <t>Interrupteur Etanche Lumineux pour locaux techniques, …</t>
  </si>
  <si>
    <t>Eclairage de Sécurité</t>
  </si>
  <si>
    <t>Fourniture et pose des étiquette de signalisation réglementaire</t>
  </si>
  <si>
    <t>Grille de protection IK10 pour parking</t>
  </si>
  <si>
    <t>Tube IRL IK10 pour parking</t>
  </si>
  <si>
    <t>Fourniture et pose BAPI</t>
  </si>
  <si>
    <t>Ferme FT</t>
  </si>
  <si>
    <t>Réglette de répartition</t>
  </si>
  <si>
    <t>Matériel de colonne</t>
  </si>
  <si>
    <t>Chemin de câble FT</t>
  </si>
  <si>
    <t>Câble téléphone 28 paires</t>
  </si>
  <si>
    <t>Fible Optique</t>
  </si>
  <si>
    <t>Point de raccordement (PR)</t>
  </si>
  <si>
    <t>Point de Branchement Optique (PBO)</t>
  </si>
  <si>
    <t>DTIo 4FO</t>
  </si>
  <si>
    <t>Câblage colonne montante</t>
  </si>
  <si>
    <t>Câble 4 FO entre PBO et DTIo 4 FO</t>
  </si>
  <si>
    <t>TV Distribution</t>
  </si>
  <si>
    <t>Antennes TNT sur mât</t>
  </si>
  <si>
    <t>Centrale, amplificateur TV et matériel de colonne</t>
  </si>
  <si>
    <t>Station de tête</t>
  </si>
  <si>
    <t>Câble coaxial pour descente d'antenne TV</t>
  </si>
  <si>
    <t>Accessoires</t>
  </si>
  <si>
    <t>Portier Visiophonie et Contrôle d'Accès</t>
  </si>
  <si>
    <t>FOYERS - LOT F2</t>
  </si>
  <si>
    <t>Réseau de Terre</t>
  </si>
  <si>
    <t>Réalisation de toutes les liaisons équipotentielles (y compris soudure exothermique type Cadwell)</t>
  </si>
  <si>
    <t>Circuit de terre : Câble nu déroulé en fond de fouille d'une section minimum de 35mm²</t>
  </si>
  <si>
    <t>Pénétration des locaux par fourreaux</t>
  </si>
  <si>
    <t>Réalisation de l'interconnexion des terres</t>
  </si>
  <si>
    <t>Barrette de coupure et de contrôle sur isolateurs porcelaine</t>
  </si>
  <si>
    <t>Connecteur en cuivre à sertir pour circuit de mise à la terre</t>
  </si>
  <si>
    <t>Ensemble d'accessoires et divers</t>
  </si>
  <si>
    <t>Vérification du réseau de terre</t>
  </si>
  <si>
    <t>Parafoudre</t>
  </si>
  <si>
    <t>Tableau HTA composé de:</t>
  </si>
  <si>
    <t>1 cellule arrivée double dérivation à deux interrupteurs, type DDM</t>
  </si>
  <si>
    <t>1 cellule disjoncteur double sectionnement, type DM2</t>
  </si>
  <si>
    <t>1 cellule combiné interrupteur-fusibles, type QM</t>
  </si>
  <si>
    <t>1 Transformateur inclus bac de rétention ouverture grand côté</t>
  </si>
  <si>
    <t>Liaison Transfo / Cellule BT compris raccordement</t>
  </si>
  <si>
    <t>Cellule BT</t>
  </si>
  <si>
    <t>Liaison Cellule BT / TGBT compris raccordement</t>
  </si>
  <si>
    <t>Accessoires de sécurité:</t>
  </si>
  <si>
    <t>Etiquette de terre pour poste EDF</t>
  </si>
  <si>
    <t>Etiquette - soins aux électrisés</t>
  </si>
  <si>
    <t>Etiquette - défense d'afficher</t>
  </si>
  <si>
    <t>Etiquette - poste de transformation</t>
  </si>
  <si>
    <t>Vérificateur d'absence de tension</t>
  </si>
  <si>
    <t>Porte fusible de rechange (vide)</t>
  </si>
  <si>
    <t>Gants isolants Classe 3, 30 KV sous coffret à fenêtre</t>
  </si>
  <si>
    <t>Tabouret isolant 40 kV</t>
  </si>
  <si>
    <t>Extincteur 8 litres à neige de carbone</t>
  </si>
  <si>
    <t>Fourniture et pose du TGBT équipé (Forme 2b - IS 233) :</t>
  </si>
  <si>
    <t>appareils de mesure, plans à jour sous pochette plastique</t>
  </si>
  <si>
    <t>Tableau Général Basse Tension</t>
  </si>
  <si>
    <t>Tableau Général de Sécurité</t>
  </si>
  <si>
    <r>
      <t xml:space="preserve">Protection des personnes et du matériel (disj. Magn. Therm. , DDR) de type </t>
    </r>
    <r>
      <rPr>
        <b/>
        <sz val="12"/>
        <color indexed="8"/>
        <rFont val="Arial Narrow"/>
        <family val="2"/>
      </rPr>
      <t>Débrochable</t>
    </r>
  </si>
  <si>
    <t>Fourniture et pose du TGS équipé (Forme 2b - IS 233) :</t>
  </si>
  <si>
    <t>Tableau Divisionnaires</t>
  </si>
  <si>
    <t>TD RDC</t>
  </si>
  <si>
    <t>TD R+1</t>
  </si>
  <si>
    <t>TD R+2</t>
  </si>
  <si>
    <t>TD R+3</t>
  </si>
  <si>
    <t>TD R+4</t>
  </si>
  <si>
    <t>TD R+5</t>
  </si>
  <si>
    <t>TD R+6</t>
  </si>
  <si>
    <t>TD R+7</t>
  </si>
  <si>
    <t>TD R+8</t>
  </si>
  <si>
    <t>TD R+9</t>
  </si>
  <si>
    <t>TD R+10</t>
  </si>
  <si>
    <t>TD R+11</t>
  </si>
  <si>
    <t>TD R+12</t>
  </si>
  <si>
    <t xml:space="preserve">Coupure d'urgence générale électricité - boîtier rouge            </t>
  </si>
  <si>
    <t>Coupure d'urgence générale ventilation - boîtier rouge</t>
  </si>
  <si>
    <t xml:space="preserve">Chemin de câbles courants forts </t>
  </si>
  <si>
    <t>Chemin de câbles sécurité</t>
  </si>
  <si>
    <t>Prise de courant 10/16A 2P+T 230V à raccordement direct</t>
  </si>
  <si>
    <t>Prise étanche 10/16A 2P+T 230V avec volet</t>
  </si>
  <si>
    <t xml:space="preserve">Prise  32A 3P+N+T 400V </t>
  </si>
  <si>
    <t>Câblage prises U1000 R2V</t>
  </si>
  <si>
    <t>Interrupteur</t>
  </si>
  <si>
    <t>Inter simple étanche</t>
  </si>
  <si>
    <t>Bouton poussoir</t>
  </si>
  <si>
    <t>Fourniture, pose et raccordement baie technique 16U 600x580 hauteur 800</t>
  </si>
  <si>
    <t>Panneau de brassage 1U - 24 ports RJ45</t>
  </si>
  <si>
    <t>Guide cordons 1U</t>
  </si>
  <si>
    <t>Barrette de reprise de terre</t>
  </si>
  <si>
    <t>Plateau prof 360mm</t>
  </si>
  <si>
    <t>Bloc 6PC Alu 1U 10/16A + cordon 2m50 + fiche</t>
  </si>
  <si>
    <t>Fourniture et pose des câbles nécessaire à l'installation (rocades cuivre, optique, câbles capillaire 4 paires 100 Ohms catégorie 6 avec blindage)</t>
  </si>
  <si>
    <t xml:space="preserve">Cordons de brassage Informatique </t>
  </si>
  <si>
    <t>Equipements Actifs</t>
  </si>
  <si>
    <t>Test et étiquetage</t>
  </si>
  <si>
    <t>hl</t>
  </si>
  <si>
    <t>Coupure d'arrêt d'urgence</t>
  </si>
  <si>
    <t>Fourniture et pose des câbles nécessaire à l'installation câbles capillaire 4 paires 100 Ohms catégorie 6 avec blindage</t>
  </si>
  <si>
    <t xml:space="preserve">Mise en service et essais </t>
  </si>
  <si>
    <t>VidéoProtection</t>
  </si>
  <si>
    <t>Alarme Technique</t>
  </si>
  <si>
    <t>Fourniture, pose et raccordement d'un tableau d'alarme technique 12 directions</t>
  </si>
  <si>
    <t>Réalisation du câblage</t>
  </si>
  <si>
    <t>Mise en service et essai</t>
  </si>
  <si>
    <t>Tableau d'alarme de type 1</t>
  </si>
  <si>
    <t>Diffuseurs sonores 90dB à 2m Son conforme norme AFNOR</t>
  </si>
  <si>
    <t>Diffuseur sonore avec Flash lumineux</t>
  </si>
  <si>
    <t>Déclencheur manuel saillie rouge avec indicateur mécanique d'état</t>
  </si>
  <si>
    <t>Câble 2 paires 8/10e catégorie C2 de type SYT1</t>
  </si>
  <si>
    <t>Alimentations DAS</t>
  </si>
  <si>
    <t>Ventouse électromagnétiques asservies</t>
  </si>
  <si>
    <t>Alimentations Clapet CF télécommandés</t>
  </si>
  <si>
    <t>Signalétique</t>
  </si>
  <si>
    <t xml:space="preserve">Sécurité Incendie </t>
  </si>
  <si>
    <t xml:space="preserve">Grilles de ventilation VB VH </t>
  </si>
  <si>
    <t>Raccordement HT / BT - Distribution privé sur site</t>
  </si>
  <si>
    <t>Perche de sauvetage 90 kV complète</t>
  </si>
  <si>
    <t>Coffret spécifique logement</t>
  </si>
  <si>
    <t>Gaine Technique Logement comprenant également le coffret de communication</t>
  </si>
  <si>
    <t>Précablage Wifi Parties Communes</t>
  </si>
  <si>
    <t>Distribution Bureaux</t>
  </si>
  <si>
    <t>Appareillage Bureaux</t>
  </si>
  <si>
    <t>Boîtier CPL</t>
  </si>
  <si>
    <t>Fourniture et pose des câbles nécessaire à l'installation (rocades cuivre, câbles capillaire 4 paires 100 Ohms catégorie 6 avec blindage)</t>
  </si>
  <si>
    <t>Boitier de connexion 4 directions</t>
  </si>
  <si>
    <t>Boitier de connexion 8 directions</t>
  </si>
  <si>
    <t>Panneau S81 Mono CBE + Linky</t>
  </si>
  <si>
    <t>Barrette de coupure de terre basse</t>
  </si>
  <si>
    <t>Répartiteur de terre 5 dérivations</t>
  </si>
  <si>
    <t>Répartiteur de terre 8 dérivations</t>
  </si>
  <si>
    <t>Neutre couteau taille 00</t>
  </si>
  <si>
    <t>Cartouche fusible T00 AD 45</t>
  </si>
  <si>
    <t>Colonne de terre</t>
  </si>
  <si>
    <t>Alimentations des deux ascenseurs</t>
  </si>
  <si>
    <t>Poste de travail : 2PC 2x10/16A+T, 1PC  2x10/16A+T secourues, 3RJ45</t>
  </si>
  <si>
    <t xml:space="preserve">Poste de travail : 4PC 2x10/16A+T, 2PC  2x10/16A+T secourues, 4RJ45 </t>
  </si>
  <si>
    <t>Fourniture, pose et raccordement d'AES</t>
  </si>
  <si>
    <t>Poste de travail : 2PC 2x10/16A+T, 1PC  2x10/16A+T secourues, 2RJ45</t>
  </si>
  <si>
    <t>Poste de travail : 5PC 2x10/16A+T, 2PC  2x10/16A+T secourues, 3RJ45</t>
  </si>
  <si>
    <t>Cordons de brassage</t>
  </si>
  <si>
    <t>Prise RJ45 et Rj45 pour wifi</t>
  </si>
  <si>
    <t>Alimentation appareillage</t>
  </si>
  <si>
    <t>ETUDES D'EXECUTION - PLANS DE SYNTHESE - DOE</t>
  </si>
  <si>
    <t>Alimentation des TD</t>
  </si>
  <si>
    <t>Alimentation des coffrets des chambres</t>
  </si>
  <si>
    <t>Alimentation système de la vidéoprotection</t>
  </si>
  <si>
    <t>2.3</t>
  </si>
  <si>
    <t>2.4</t>
  </si>
  <si>
    <t>2.5</t>
  </si>
  <si>
    <t>2.6</t>
  </si>
  <si>
    <t>3.1</t>
  </si>
  <si>
    <t>3.3</t>
  </si>
  <si>
    <t>3.4</t>
  </si>
  <si>
    <t>3.5</t>
  </si>
  <si>
    <t>3.6</t>
  </si>
  <si>
    <t>3.7</t>
  </si>
  <si>
    <t>3.8</t>
  </si>
  <si>
    <t>3.9</t>
  </si>
  <si>
    <t>4.1</t>
  </si>
  <si>
    <t>4.2</t>
  </si>
  <si>
    <t>4.3</t>
  </si>
  <si>
    <t>4.4</t>
  </si>
  <si>
    <t>4.5</t>
  </si>
  <si>
    <t>4.6</t>
  </si>
  <si>
    <t>4.7</t>
  </si>
  <si>
    <t>4.9</t>
  </si>
  <si>
    <t>4.8</t>
  </si>
  <si>
    <t>5.1</t>
  </si>
  <si>
    <t>5.2</t>
  </si>
  <si>
    <t>3.10</t>
  </si>
  <si>
    <t>3.11</t>
  </si>
  <si>
    <t>3.12</t>
  </si>
  <si>
    <t>3.13</t>
  </si>
  <si>
    <t>3.14</t>
  </si>
  <si>
    <t>5.3</t>
  </si>
  <si>
    <t>5.4</t>
  </si>
  <si>
    <t>5.5</t>
  </si>
  <si>
    <t>5.6</t>
  </si>
  <si>
    <t>5.7</t>
  </si>
  <si>
    <t>5.8</t>
  </si>
  <si>
    <t>5.9</t>
  </si>
  <si>
    <t>5.10</t>
  </si>
  <si>
    <t>5.11</t>
  </si>
  <si>
    <t>5.12</t>
  </si>
  <si>
    <t>5.13</t>
  </si>
  <si>
    <t>5.14</t>
  </si>
  <si>
    <t>5.15</t>
  </si>
  <si>
    <t>5.16</t>
  </si>
  <si>
    <t>5.17</t>
  </si>
  <si>
    <t>5.18</t>
  </si>
  <si>
    <t>5.19</t>
  </si>
  <si>
    <t>5.20</t>
  </si>
  <si>
    <t>Fourniture, pose et raccordement batterie de condensateurs</t>
  </si>
  <si>
    <t>Alimentation équipements CVC</t>
  </si>
  <si>
    <t>Alimentation équipements CVCD</t>
  </si>
  <si>
    <t>Alimentation équipements Plomberie</t>
  </si>
  <si>
    <t>Télécommunications Logements et bureaux SOHO</t>
  </si>
  <si>
    <t>Boitier d'encastrement pour platine vidéo GTBE</t>
  </si>
  <si>
    <t>centrale audio GTBC</t>
  </si>
  <si>
    <t>connecteur de distribution GFC</t>
  </si>
  <si>
    <t>Centrale audio supplémentaire GTBCX</t>
  </si>
  <si>
    <t>centrale vidéo supplémentaire GTVBX</t>
  </si>
  <si>
    <t>Alim modulaire PS2420D</t>
  </si>
  <si>
    <t>Alim secteur PS1250DIN</t>
  </si>
  <si>
    <t>Bp inox BPN0NF60CV</t>
  </si>
  <si>
    <t>Câblage et raccordement (SYT 9/10éme 5 paires)</t>
  </si>
  <si>
    <t>Blocs 6PC Alu 1U 10/16A + cordon 2m50 + fiche</t>
  </si>
  <si>
    <t>Fourniture, pose et raccordement baie technique 27U 600x580</t>
  </si>
  <si>
    <t>Colonnes Montantes Electriques SOHO Logements + Bureaux</t>
  </si>
  <si>
    <t>Tableau Général Basse Tension SGX Logements</t>
  </si>
  <si>
    <t>Tableau Général Basse Tension SGX SOHO</t>
  </si>
  <si>
    <t>Alimentation système de contrôle d'accès</t>
  </si>
  <si>
    <t>Câblage entre colonne et compteur logement / bureau</t>
  </si>
  <si>
    <t>Tableau Général Basse Tension Parking</t>
  </si>
  <si>
    <t>Tableaux Electriques Bureaux RDC et R+1</t>
  </si>
  <si>
    <t>Luminaire Type E1</t>
  </si>
  <si>
    <t>Luminaire Type G1</t>
  </si>
  <si>
    <t>Luminaire Type G2</t>
  </si>
  <si>
    <t>Fourniture et pose du TD équipé</t>
  </si>
  <si>
    <t>Compteurs d'énergie</t>
  </si>
  <si>
    <t>Mise à la terre de l'installation</t>
  </si>
  <si>
    <t>Chaque tableau listé ci-dessous comprend:</t>
  </si>
  <si>
    <t>Protection des personnes et du matériel (disj. Magn. Therm. , DDR)</t>
  </si>
  <si>
    <t>Tableau Divisionnaire Salle de Réunion SOHO</t>
  </si>
  <si>
    <t>Luminaire Type H1</t>
  </si>
  <si>
    <t>Interrupteur simple allumage</t>
  </si>
  <si>
    <t xml:space="preserve">Prise de courant 16A 2P+T </t>
  </si>
  <si>
    <t>appareillage (compris sonnette)</t>
  </si>
  <si>
    <t xml:space="preserve">Plaque électrique </t>
  </si>
  <si>
    <t>Logement Type T1B</t>
  </si>
  <si>
    <t>Alimentation Plaque de cuisson OFFICE R+7</t>
  </si>
  <si>
    <t>Détecteur optique ponctuel</t>
  </si>
  <si>
    <t>Fourniture, pose et raccordement d'ASI</t>
  </si>
  <si>
    <t>Détecteur autonome applique Sous Sol</t>
  </si>
  <si>
    <t>support pour box opérateur / modem / routeur</t>
  </si>
  <si>
    <t>Fourniture et pose du TD équipé :</t>
  </si>
  <si>
    <t>Interface d'Etage IE3000</t>
  </si>
  <si>
    <t>Interface de tourelle IT3000</t>
  </si>
  <si>
    <t>Détecteur Incendie DOFS3000</t>
  </si>
  <si>
    <t>Simple action Désenfumage  rouge BCM3000 + clapet</t>
  </si>
  <si>
    <t>Module de ligne ML12K</t>
  </si>
  <si>
    <t>Tableau Divisionnaire Bureau Gestionnaire</t>
  </si>
  <si>
    <t>Tableau Divisionnaire Loge</t>
  </si>
  <si>
    <t>TD Bureau SOHO-01 60,3m² RDC</t>
  </si>
  <si>
    <t>TD Bureau SOHO-02 65,5m² RDC</t>
  </si>
  <si>
    <t>TD Bureau SOHO-04 52,0m² RDC</t>
  </si>
  <si>
    <t>TD Bureau SOHO-05 60,0m² RDC</t>
  </si>
  <si>
    <t>TD Bureau SOHO-06 68,1m² RDC</t>
  </si>
  <si>
    <t>TD Bureau SOHO-07 68,1m² RDC</t>
  </si>
  <si>
    <t>TD Bureau SOHO-08 60,0m² RDC</t>
  </si>
  <si>
    <t>TD Bureau SOHO-09 52,0m² RDC</t>
  </si>
  <si>
    <t>TD Bureau SOHO-01 31,5m² R+1</t>
  </si>
  <si>
    <t>Eclairage Bureaux</t>
  </si>
  <si>
    <t>Détecteur autonome version saillie/encastré pour paliers</t>
  </si>
  <si>
    <t>Plinthes multiconducteurs 2 compartiments 140mm x 56mm</t>
  </si>
  <si>
    <t>Tableau Divisionnaire Loggia</t>
  </si>
  <si>
    <t>Alimentation système de visiophonie</t>
  </si>
  <si>
    <t>Alimentations Issues des tableaux bureaux</t>
  </si>
  <si>
    <t>Alimentations des trois ascenseurs</t>
  </si>
  <si>
    <t>Commande désenfumage</t>
  </si>
  <si>
    <t>Fourniture, pose et raccordement baie technique 16U 600x600</t>
  </si>
  <si>
    <t>Bandeau de prises</t>
  </si>
  <si>
    <t>Feu de passage</t>
  </si>
  <si>
    <t>Boucle inductive de détection véhicule périmètre 5m</t>
  </si>
  <si>
    <t>Détecteur Bicanal 220VAC pour plot de détection</t>
  </si>
  <si>
    <t>Boite de relayage 2 relais</t>
  </si>
  <si>
    <t>Interface de gestion</t>
  </si>
  <si>
    <t>Câblage</t>
  </si>
  <si>
    <t>Mise en service et essais</t>
  </si>
  <si>
    <t>Gestion des rampes parking</t>
  </si>
  <si>
    <t>Platine vidéo monobloc. inoxGTDMV avec accessoire, alim, Vigik</t>
  </si>
  <si>
    <t>Distributeur vidéo de colonne pour 4 moniteurs GT4Z</t>
  </si>
  <si>
    <t>Lecteur VIGIK locaux</t>
  </si>
  <si>
    <t>3.2</t>
  </si>
  <si>
    <t>Plans à jour sous pochette plastique</t>
  </si>
  <si>
    <t>Fourniture et pose du TGS équipé</t>
  </si>
  <si>
    <t>Alimentations Issues du TGBT SGX Logements, TGS SGX Logements, TGBT SGX SOHO, TGBT Parking</t>
  </si>
  <si>
    <t>Alimentation des gâches ventouses, manœuvre électrique des velux + velux,…</t>
  </si>
  <si>
    <t>3.15</t>
  </si>
  <si>
    <t>Poste de travail en Goulotte 5 PC + 1RJ45</t>
  </si>
  <si>
    <t>3.16</t>
  </si>
  <si>
    <t>3.17</t>
  </si>
  <si>
    <t>3.18</t>
  </si>
  <si>
    <t>3.19</t>
  </si>
  <si>
    <t>3.20</t>
  </si>
  <si>
    <t>Clés de proximité</t>
  </si>
  <si>
    <t>3.21</t>
  </si>
  <si>
    <t>Disque dur 4TO SATA</t>
  </si>
  <si>
    <t>3.22</t>
  </si>
  <si>
    <t>3.23</t>
  </si>
  <si>
    <t>4.10</t>
  </si>
  <si>
    <t>4.11</t>
  </si>
  <si>
    <t>Alimentations Issues du TGBT, TGS et TD</t>
  </si>
  <si>
    <t>Alimentation centrale de paiement laverie</t>
  </si>
  <si>
    <t>Télécommunications Chambres et Logement Gardien</t>
  </si>
  <si>
    <t>5.21</t>
  </si>
  <si>
    <t>Liaisons au réseau de distribution public (compris supportage)</t>
  </si>
  <si>
    <t>Pose et raccordement du tableau de comptage TARIF JAUNE (hors fourniture)</t>
  </si>
  <si>
    <t>6.1 et 6.2</t>
  </si>
  <si>
    <t>1.2</t>
  </si>
  <si>
    <t>1.4</t>
  </si>
  <si>
    <t>GENERALITES</t>
  </si>
  <si>
    <t>Prise de Courant 16A 2P+T</t>
  </si>
  <si>
    <t>Logement Type T1 et T1'</t>
  </si>
  <si>
    <t>Prise 16A détrompée</t>
  </si>
  <si>
    <t>Prise 20A</t>
  </si>
  <si>
    <t>TOTAL HT BASE - OPERATION LOT F CHAPELLE INTERNATIONAL</t>
  </si>
  <si>
    <t>TOTAL TTC BASE - OPERATION LOT F CHAPELLE INTERNATIONAL</t>
  </si>
  <si>
    <t>Diffuseur lumineux</t>
  </si>
  <si>
    <t>6. SPECIFICATIONS DETAILLEES DES OUVRAGES COURANTS FORT ET FAIBLE CAFE ET LOCAUX D'ACTIVITE 1 &amp; 2</t>
  </si>
  <si>
    <t>Pose et raccordement du tableau de comptage TARIF BLEU (hors fourniture)</t>
  </si>
  <si>
    <t>Fourniture d'un tableau de protection</t>
  </si>
  <si>
    <t>Distribution Courants Forts et Faibles</t>
  </si>
  <si>
    <t>Luminaire Type A2</t>
  </si>
  <si>
    <t>Plaque de signalisation verticale</t>
  </si>
  <si>
    <t>Alimentation des stores et rideaux métalliques</t>
  </si>
  <si>
    <t>Alimentation des stores</t>
  </si>
  <si>
    <t>Détecteur autonome version saillie/encastré pour paliers, Halls</t>
  </si>
  <si>
    <t>Détecteur autonome version saillie pour escaliers</t>
  </si>
  <si>
    <t>Interface NS Ascenseur INSA3000</t>
  </si>
  <si>
    <t>Plaque électrique Office Salle polyvalente</t>
  </si>
  <si>
    <t>Hotte filtrante encastré</t>
  </si>
  <si>
    <t>Fourniture, pose et raccordement d'un tableau d'alarme technique 30 directions mini</t>
  </si>
  <si>
    <t>Ligne téléphonique ascenseur et télésurveillance</t>
  </si>
  <si>
    <t>Ligne téléphonique ascenseurs et télésurveillance</t>
  </si>
  <si>
    <t>coffret de com avec DTIo</t>
  </si>
  <si>
    <t>Luminaire Type A1</t>
  </si>
  <si>
    <t>Luminaire Type B1</t>
  </si>
  <si>
    <t>Luminaire Type C1</t>
  </si>
  <si>
    <t>Luminaire Type C2</t>
  </si>
  <si>
    <t>Luminaire Type D1</t>
  </si>
  <si>
    <t>Luminaire Type D2</t>
  </si>
  <si>
    <t>Luminaire Type D3</t>
  </si>
  <si>
    <t>Luminaire Type E2</t>
  </si>
  <si>
    <t>Luminaire Type F1</t>
  </si>
  <si>
    <t>Luminaire Type F2</t>
  </si>
  <si>
    <t>Luminaire Type F3</t>
  </si>
  <si>
    <t>Luminaire Type G3</t>
  </si>
  <si>
    <t>Luminaire Type G4</t>
  </si>
  <si>
    <t>Luminaire Type I1</t>
  </si>
  <si>
    <t>Luminaire Type K1</t>
  </si>
  <si>
    <t>Luminaire Type J1 (y compris mât 7,20m de hauteur hors sol, fourreaux, socle béton,…)</t>
  </si>
  <si>
    <r>
      <t xml:space="preserve">SERVICES GENERAUX - LOT F1
</t>
    </r>
    <r>
      <rPr>
        <i/>
        <sz val="12"/>
        <rFont val="Arial Narrow"/>
        <family val="2"/>
      </rPr>
      <t>(EQUIPEMENTS GENERAUX DE L'IMMEUBLE, ANNEXES PRIVATIVES, PARTIES COMMUNES EXTERIEURS - INTERIEURES A L'IMMEUBLE)</t>
    </r>
  </si>
  <si>
    <t>Fourniture de luminaires type A2</t>
  </si>
  <si>
    <t>Fourniture commande d'éclairage plexo</t>
  </si>
  <si>
    <t>Barrette spécifique local opérateur</t>
  </si>
  <si>
    <t>Kit visiosoft ou similaire.</t>
  </si>
  <si>
    <t>Boutons sonnerie d'appel + carillon</t>
  </si>
  <si>
    <t>NVR 8 canaux IP - POE - 1080p à 25ips</t>
  </si>
  <si>
    <t>Dôme antivandal IP2.8-12mm-2mp</t>
  </si>
  <si>
    <t>Switch PoE</t>
  </si>
  <si>
    <t>Moniteur 21,5" HD,VGA,HDMI,BNC</t>
  </si>
  <si>
    <t>NVR 32 canaux IP - POE - 1080p à 25ips</t>
  </si>
  <si>
    <t>Prises terminales RJ45</t>
  </si>
  <si>
    <t>Distribution F2</t>
  </si>
  <si>
    <t>Etudes d'exécution, plans de synthèse, dossier DOE.</t>
  </si>
  <si>
    <t>Gaine Technique Logement comprenant également le coffret de communication et support box opérateur</t>
  </si>
  <si>
    <t>Les logements équipés d'une Loggia d'angle seront équipés de stores électriques. L'entreprise devra donc prévoir les alimentations en attentes (voir plan)</t>
  </si>
  <si>
    <t>Compteurs d'énergies</t>
  </si>
  <si>
    <t>Tableau Général de Sécurité SGX Logements</t>
  </si>
  <si>
    <t>Alimentation tableau de désenfumage Logements</t>
  </si>
  <si>
    <t>Fourniture, pose et raccordement d'un report d'alarmes techniques</t>
  </si>
  <si>
    <t>Fourreaux pour alimentation des voitures électriques (mesures conservatoires)</t>
  </si>
  <si>
    <t>Cellule de luminosité/détection de présence</t>
  </si>
  <si>
    <t>Contrôleur</t>
  </si>
  <si>
    <t>Nota : les luminaires seront livrés avec leurs sources</t>
  </si>
  <si>
    <t>Télécommande  non polarisée SATI Autodiag</t>
  </si>
  <si>
    <t>Fourniture, pose et raccordement BAES + BAEH d'évacuation SATI Autodiag</t>
  </si>
  <si>
    <t>Fourniture, pose et raccordement BAES + BAEH d'évacuation SATI Autodiag étanche</t>
  </si>
  <si>
    <t>Afficheur écran tactile SATI Autodiag - Logements et SOHO/Parking</t>
  </si>
  <si>
    <t>Centrale vidéo standard GTVBC</t>
  </si>
  <si>
    <t>Moniteur vidéo Couleur mains libres avec boucle magnétique &amp; zoom pour GT</t>
  </si>
  <si>
    <t>Alimentations gâches et ventouses</t>
  </si>
  <si>
    <t>Tableau de désenfumage TD3000</t>
  </si>
  <si>
    <t>Câblage et raccordement du bus de communication et ligne de contrôle câble 1 paire 8/10°</t>
  </si>
  <si>
    <t>Câblage et raccordement alimention 24V et ligne de télécommande volets/tourelle 2x1,5mm²</t>
  </si>
  <si>
    <t>Les logements Soho au R+1 seront équipés de stores électriques. L'entreprise devra donc prévoir les alimentations en attentes (voir plan)</t>
  </si>
  <si>
    <t>Mesures conservatoires réseaux VDI (fourreaux en attentes)</t>
  </si>
  <si>
    <t>Poste de travail en Goulotte y compris mesures conservatoires pour future câblage VDI (fourreaux en attente)</t>
  </si>
  <si>
    <t>Poste de travail au sol y compris mesures conservatoires pour future câblage VDI (fourreaux en attente)</t>
  </si>
  <si>
    <t>Interrupteur simple allumage étanche lumineux</t>
  </si>
  <si>
    <t>Réseau CPLG3 Bureaux</t>
  </si>
  <si>
    <t>1 cellule transformateur de potentiel, type CM</t>
  </si>
  <si>
    <t>Alimentation système de sécurité incendie</t>
  </si>
  <si>
    <t>Les logements PMR seront équipés de stores électriques. L'entreprise devra donc prévoir les alimentations en attentes (voir plan)</t>
  </si>
  <si>
    <t xml:space="preserve">Interrupteur double </t>
  </si>
  <si>
    <t>Afficheur écran tactile SATI Autodiag</t>
  </si>
  <si>
    <t>Pré câblage Réseau VDI Locaux Communs</t>
  </si>
  <si>
    <t xml:space="preserve">Tableau Divisionnaire Bornes Voitures Electriques </t>
  </si>
  <si>
    <t>3.24</t>
  </si>
  <si>
    <t>Tx Hor</t>
  </si>
  <si>
    <t>Coef fourn.</t>
  </si>
  <si>
    <t>C. MO</t>
  </si>
  <si>
    <t>Coéf FG</t>
  </si>
  <si>
    <t>Débours total HT (Mat)</t>
  </si>
  <si>
    <t>Nbre heures</t>
  </si>
  <si>
    <t>Débours total HT (Mat et MO)</t>
  </si>
  <si>
    <t>Prix d'achat suggéré maxi</t>
  </si>
  <si>
    <t>Achat/U  €</t>
  </si>
  <si>
    <t>MO/U</t>
  </si>
  <si>
    <t>Achat/TT  €</t>
  </si>
  <si>
    <t>MO/TT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</si>
</sst>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 #,##0.00\ &quot;€&quot;_-;\-* #,##0.00\ &quot;€&quot;_-;_-* &quot;-&quot;??\ &quot;€&quot;_-;_-@_-"/>
    <numFmt numFmtId="164" formatCode="_-* #,##0.00&quot; F&quot;_-;\-* #,##0.00&quot; F&quot;_-;_-* \-??&quot; F&quot;_-;_-@_-"/>
    <numFmt numFmtId="165" formatCode="#,##0.00\ [$€-1]"/>
    <numFmt numFmtId="166" formatCode="_-* #,##0.00\ [$€-1]_-;\-* #,##0.00\ [$€-1]_-;_-* &quot;-&quot;??\ [$€-1]_-"/>
    <numFmt numFmtId="167" formatCode="_-* #,##0.00\ [$€-40C]_-;\-* #,##0.00\ [$€-40C]_-;_-* &quot;-&quot;??\ [$€-40C]_-;_-@_-"/>
    <numFmt numFmtId="168" formatCode="_-* #,##0.00\ _F_-;\-* #,##0.00\ _F_-;_-* &quot;-&quot;??\ _F_-;_-@_-"/>
    <numFmt numFmtId="169" formatCode="_-* #,##0.00\ [$€]_-;\-* #,##0.00\ [$€]_-;_-* &quot;-&quot;??\ [$€]_-;_-@_-"/>
    <numFmt numFmtId="170" formatCode="#,##0.00\ &quot;€&quot;"/>
  </numFmts>
  <fonts count="39">
    <font>
      <sz val="10"/>
      <name val="Arial"/>
    </font>
    <font>
      <sz val="10"/>
      <name val="Arial"/>
      <family val="2"/>
    </font>
    <font>
      <b/>
      <sz val="12"/>
      <name val="Arial Narrow"/>
      <family val="2"/>
    </font>
    <font>
      <sz val="12"/>
      <name val="Arial Narrow"/>
      <family val="2"/>
    </font>
    <font>
      <b/>
      <sz val="14"/>
      <name val="Arial Narrow"/>
      <family val="2"/>
    </font>
    <font>
      <i/>
      <sz val="12"/>
      <name val="Arial Narrow"/>
      <family val="2"/>
    </font>
    <font>
      <sz val="12"/>
      <name val="Arial Narrow"/>
      <family val="2"/>
    </font>
    <font>
      <sz val="11"/>
      <name val="Arial Narrow"/>
      <family val="2"/>
    </font>
    <font>
      <sz val="10"/>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color indexed="8"/>
      <name val="Arial Narrow"/>
      <family val="2"/>
    </font>
    <font>
      <b/>
      <sz val="12"/>
      <color indexed="8"/>
      <name val="Arial Narrow"/>
      <family val="2"/>
    </font>
    <font>
      <u/>
      <sz val="12"/>
      <name val="Arial Narrow"/>
      <family val="2"/>
    </font>
    <font>
      <sz val="10"/>
      <name val="Univers"/>
    </font>
    <font>
      <b/>
      <sz val="11"/>
      <name val="Arial Narrow"/>
      <family val="2"/>
    </font>
    <font>
      <b/>
      <u val="double"/>
      <sz val="12"/>
      <name val="Arial Narrow"/>
      <family val="2"/>
    </font>
    <font>
      <sz val="11"/>
      <color theme="1"/>
      <name val="Calibri"/>
      <family val="2"/>
      <scheme val="minor"/>
    </font>
    <font>
      <sz val="10"/>
      <name val="Frutiger LT Std 45 Light"/>
      <family val="2"/>
    </font>
    <font>
      <sz val="10"/>
      <name val="Times New Roman"/>
      <family val="1"/>
    </font>
    <font>
      <sz val="11"/>
      <name val="Times New Roman"/>
      <family val="1"/>
    </font>
    <font>
      <b/>
      <sz val="10"/>
      <name val="Times New Roman"/>
      <family val="1"/>
    </font>
    <font>
      <b/>
      <sz val="11"/>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3" tint="0.59999389629810485"/>
        <bgColor indexed="64"/>
      </patternFill>
    </fill>
    <fill>
      <patternFill patternType="solid">
        <fgColor rgb="FFFF0000"/>
        <bgColor indexed="64"/>
      </patternFill>
    </fill>
    <fill>
      <patternFill patternType="solid">
        <fgColor rgb="FFFFFF99"/>
        <bgColor indexed="64"/>
      </patternFill>
    </fill>
    <fill>
      <patternFill patternType="solid">
        <fgColor rgb="FF66FF99"/>
        <bgColor indexed="64"/>
      </patternFill>
    </fill>
  </fills>
  <borders count="58">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8"/>
      </left>
      <right style="thin">
        <color indexed="8"/>
      </right>
      <top/>
      <bottom/>
      <diagonal/>
    </border>
    <border>
      <left style="thin">
        <color indexed="8"/>
      </left>
      <right style="thin">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medium">
        <color indexed="64"/>
      </left>
      <right style="thin">
        <color indexed="64"/>
      </right>
      <top/>
      <bottom/>
      <diagonal/>
    </border>
    <border>
      <left style="thin">
        <color indexed="64"/>
      </left>
      <right/>
      <top/>
      <bottom/>
      <diagonal/>
    </border>
    <border>
      <left style="thin">
        <color indexed="8"/>
      </left>
      <right/>
      <top/>
      <bottom/>
      <diagonal/>
    </border>
    <border>
      <left style="thin">
        <color indexed="64"/>
      </left>
      <right style="medium">
        <color indexed="64"/>
      </right>
      <top/>
      <bottom/>
      <diagonal/>
    </border>
    <border>
      <left/>
      <right/>
      <top/>
      <bottom style="medium">
        <color indexed="8"/>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8"/>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8"/>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8"/>
      </left>
      <right style="medium">
        <color indexed="64"/>
      </right>
      <top/>
      <bottom/>
      <diagonal/>
    </border>
    <border>
      <left style="medium">
        <color indexed="64"/>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top style="medium">
        <color indexed="8"/>
      </top>
      <bottom/>
      <diagonal/>
    </border>
    <border>
      <left/>
      <right/>
      <top style="medium">
        <color indexed="8"/>
      </top>
      <bottom style="medium">
        <color indexed="8"/>
      </bottom>
      <diagonal/>
    </border>
    <border>
      <left/>
      <right style="medium">
        <color indexed="64"/>
      </right>
      <top style="medium">
        <color indexed="8"/>
      </top>
      <bottom style="medium">
        <color indexed="8"/>
      </bottom>
      <diagonal/>
    </border>
    <border>
      <left style="thin">
        <color indexed="8"/>
      </left>
      <right style="medium">
        <color indexed="64"/>
      </right>
      <top/>
      <bottom style="medium">
        <color indexed="8"/>
      </bottom>
      <diagonal/>
    </border>
    <border>
      <left style="medium">
        <color indexed="64"/>
      </left>
      <right/>
      <top/>
      <bottom/>
      <diagonal/>
    </border>
    <border>
      <left style="medium">
        <color indexed="64"/>
      </left>
      <right/>
      <top style="medium">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style="medium">
        <color indexed="8"/>
      </top>
      <bottom/>
      <diagonal/>
    </border>
    <border>
      <left style="medium">
        <color indexed="64"/>
      </left>
      <right/>
      <top style="medium">
        <color indexed="8"/>
      </top>
      <bottom/>
      <diagonal/>
    </border>
    <border>
      <left style="medium">
        <color indexed="64"/>
      </left>
      <right/>
      <top style="medium">
        <color indexed="64"/>
      </top>
      <bottom style="medium">
        <color indexed="64"/>
      </bottom>
      <diagonal/>
    </border>
    <border>
      <left style="medium">
        <color indexed="8"/>
      </left>
      <right/>
      <top style="medium">
        <color indexed="8"/>
      </top>
      <bottom style="medium">
        <color indexed="64"/>
      </bottom>
      <diagonal/>
    </border>
    <border>
      <left/>
      <right/>
      <top style="medium">
        <color indexed="8"/>
      </top>
      <bottom style="medium">
        <color indexed="64"/>
      </bottom>
      <diagonal/>
    </border>
    <border>
      <left style="thin">
        <color indexed="8"/>
      </left>
      <right style="thin">
        <color indexed="8"/>
      </right>
      <top style="medium">
        <color indexed="8"/>
      </top>
      <bottom style="medium">
        <color indexed="64"/>
      </bottom>
      <diagonal/>
    </border>
    <border>
      <left/>
      <right style="medium">
        <color indexed="64"/>
      </right>
      <top style="medium">
        <color indexed="8"/>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s>
  <cellStyleXfs count="116">
    <xf numFmtId="0" fontId="0" fillId="0" borderId="0"/>
    <xf numFmtId="167" fontId="9" fillId="2" borderId="0" applyNumberFormat="0" applyBorder="0" applyAlignment="0" applyProtection="0"/>
    <xf numFmtId="167" fontId="9" fillId="2" borderId="0" applyNumberFormat="0" applyBorder="0" applyAlignment="0" applyProtection="0"/>
    <xf numFmtId="167" fontId="9" fillId="3" borderId="0" applyNumberFormat="0" applyBorder="0" applyAlignment="0" applyProtection="0"/>
    <xf numFmtId="167" fontId="9" fillId="3" borderId="0" applyNumberFormat="0" applyBorder="0" applyAlignment="0" applyProtection="0"/>
    <xf numFmtId="167" fontId="9" fillId="4" borderId="0" applyNumberFormat="0" applyBorder="0" applyAlignment="0" applyProtection="0"/>
    <xf numFmtId="167" fontId="9" fillId="4" borderId="0" applyNumberFormat="0" applyBorder="0" applyAlignment="0" applyProtection="0"/>
    <xf numFmtId="167" fontId="9" fillId="5" borderId="0" applyNumberFormat="0" applyBorder="0" applyAlignment="0" applyProtection="0"/>
    <xf numFmtId="167" fontId="9" fillId="5" borderId="0" applyNumberFormat="0" applyBorder="0" applyAlignment="0" applyProtection="0"/>
    <xf numFmtId="167" fontId="9" fillId="6" borderId="0" applyNumberFormat="0" applyBorder="0" applyAlignment="0" applyProtection="0"/>
    <xf numFmtId="167" fontId="9" fillId="6" borderId="0" applyNumberFormat="0" applyBorder="0" applyAlignment="0" applyProtection="0"/>
    <xf numFmtId="167" fontId="9" fillId="7" borderId="0" applyNumberFormat="0" applyBorder="0" applyAlignment="0" applyProtection="0"/>
    <xf numFmtId="167" fontId="9" fillId="7" borderId="0" applyNumberFormat="0" applyBorder="0" applyAlignment="0" applyProtection="0"/>
    <xf numFmtId="167" fontId="9" fillId="8" borderId="0" applyNumberFormat="0" applyBorder="0" applyAlignment="0" applyProtection="0"/>
    <xf numFmtId="167" fontId="9" fillId="8" borderId="0" applyNumberFormat="0" applyBorder="0" applyAlignment="0" applyProtection="0"/>
    <xf numFmtId="167" fontId="9" fillId="9" borderId="0" applyNumberFormat="0" applyBorder="0" applyAlignment="0" applyProtection="0"/>
    <xf numFmtId="167" fontId="9" fillId="9" borderId="0" applyNumberFormat="0" applyBorder="0" applyAlignment="0" applyProtection="0"/>
    <xf numFmtId="167" fontId="9" fillId="10" borderId="0" applyNumberFormat="0" applyBorder="0" applyAlignment="0" applyProtection="0"/>
    <xf numFmtId="167" fontId="9" fillId="10" borderId="0" applyNumberFormat="0" applyBorder="0" applyAlignment="0" applyProtection="0"/>
    <xf numFmtId="167" fontId="9" fillId="5" borderId="0" applyNumberFormat="0" applyBorder="0" applyAlignment="0" applyProtection="0"/>
    <xf numFmtId="167" fontId="9" fillId="5" borderId="0" applyNumberFormat="0" applyBorder="0" applyAlignment="0" applyProtection="0"/>
    <xf numFmtId="167" fontId="9" fillId="8" borderId="0" applyNumberFormat="0" applyBorder="0" applyAlignment="0" applyProtection="0"/>
    <xf numFmtId="167" fontId="9" fillId="8" borderId="0" applyNumberFormat="0" applyBorder="0" applyAlignment="0" applyProtection="0"/>
    <xf numFmtId="167" fontId="9" fillId="11" borderId="0" applyNumberFormat="0" applyBorder="0" applyAlignment="0" applyProtection="0"/>
    <xf numFmtId="167" fontId="9" fillId="11" borderId="0" applyNumberFormat="0" applyBorder="0" applyAlignment="0" applyProtection="0"/>
    <xf numFmtId="167" fontId="10" fillId="12" borderId="0" applyNumberFormat="0" applyBorder="0" applyAlignment="0" applyProtection="0"/>
    <xf numFmtId="167" fontId="10" fillId="12" borderId="0" applyNumberFormat="0" applyBorder="0" applyAlignment="0" applyProtection="0"/>
    <xf numFmtId="167" fontId="10" fillId="9" borderId="0" applyNumberFormat="0" applyBorder="0" applyAlignment="0" applyProtection="0"/>
    <xf numFmtId="167" fontId="10" fillId="9" borderId="0" applyNumberFormat="0" applyBorder="0" applyAlignment="0" applyProtection="0"/>
    <xf numFmtId="167" fontId="10" fillId="10" borderId="0" applyNumberFormat="0" applyBorder="0" applyAlignment="0" applyProtection="0"/>
    <xf numFmtId="167" fontId="10" fillId="10" borderId="0" applyNumberFormat="0" applyBorder="0" applyAlignment="0" applyProtection="0"/>
    <xf numFmtId="167" fontId="10" fillId="13" borderId="0" applyNumberFormat="0" applyBorder="0" applyAlignment="0" applyProtection="0"/>
    <xf numFmtId="167" fontId="10" fillId="13" borderId="0" applyNumberFormat="0" applyBorder="0" applyAlignment="0" applyProtection="0"/>
    <xf numFmtId="167" fontId="10" fillId="14" borderId="0" applyNumberFormat="0" applyBorder="0" applyAlignment="0" applyProtection="0"/>
    <xf numFmtId="167" fontId="10" fillId="14" borderId="0" applyNumberFormat="0" applyBorder="0" applyAlignment="0" applyProtection="0"/>
    <xf numFmtId="167" fontId="10" fillId="15" borderId="0" applyNumberFormat="0" applyBorder="0" applyAlignment="0" applyProtection="0"/>
    <xf numFmtId="167" fontId="10" fillId="15" borderId="0" applyNumberFormat="0" applyBorder="0" applyAlignment="0" applyProtection="0"/>
    <xf numFmtId="167" fontId="10" fillId="16" borderId="0" applyNumberFormat="0" applyBorder="0" applyAlignment="0" applyProtection="0"/>
    <xf numFmtId="167" fontId="10" fillId="16" borderId="0" applyNumberFormat="0" applyBorder="0" applyAlignment="0" applyProtection="0"/>
    <xf numFmtId="167" fontId="10" fillId="17" borderId="0" applyNumberFormat="0" applyBorder="0" applyAlignment="0" applyProtection="0"/>
    <xf numFmtId="167" fontId="10" fillId="17" borderId="0" applyNumberFormat="0" applyBorder="0" applyAlignment="0" applyProtection="0"/>
    <xf numFmtId="167" fontId="10" fillId="18" borderId="0" applyNumberFormat="0" applyBorder="0" applyAlignment="0" applyProtection="0"/>
    <xf numFmtId="167" fontId="10" fillId="18" borderId="0" applyNumberFormat="0" applyBorder="0" applyAlignment="0" applyProtection="0"/>
    <xf numFmtId="167" fontId="10" fillId="13" borderId="0" applyNumberFormat="0" applyBorder="0" applyAlignment="0" applyProtection="0"/>
    <xf numFmtId="167" fontId="10" fillId="13" borderId="0" applyNumberFormat="0" applyBorder="0" applyAlignment="0" applyProtection="0"/>
    <xf numFmtId="167" fontId="10" fillId="14" borderId="0" applyNumberFormat="0" applyBorder="0" applyAlignment="0" applyProtection="0"/>
    <xf numFmtId="167" fontId="10" fillId="14" borderId="0" applyNumberFormat="0" applyBorder="0" applyAlignment="0" applyProtection="0"/>
    <xf numFmtId="167" fontId="10" fillId="19" borderId="0" applyNumberFormat="0" applyBorder="0" applyAlignment="0" applyProtection="0"/>
    <xf numFmtId="167" fontId="10" fillId="19" borderId="0" applyNumberFormat="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7" fontId="12" fillId="20" borderId="1" applyNumberFormat="0" applyAlignment="0" applyProtection="0"/>
    <xf numFmtId="167" fontId="12" fillId="20" borderId="1" applyNumberFormat="0" applyAlignment="0" applyProtection="0"/>
    <xf numFmtId="167" fontId="13" fillId="0" borderId="2" applyNumberFormat="0" applyFill="0" applyAlignment="0" applyProtection="0"/>
    <xf numFmtId="167" fontId="13" fillId="0" borderId="2" applyNumberFormat="0" applyFill="0" applyAlignment="0" applyProtection="0"/>
    <xf numFmtId="167" fontId="1" fillId="21" borderId="3" applyNumberFormat="0" applyFont="0" applyAlignment="0" applyProtection="0"/>
    <xf numFmtId="167" fontId="1" fillId="21" borderId="3" applyNumberFormat="0" applyFont="0" applyAlignment="0" applyProtection="0"/>
    <xf numFmtId="167" fontId="14" fillId="7" borderId="1" applyNumberFormat="0" applyAlignment="0" applyProtection="0"/>
    <xf numFmtId="167" fontId="14" fillId="7" borderId="1" applyNumberFormat="0" applyAlignment="0" applyProtection="0"/>
    <xf numFmtId="166"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26" fillId="0" borderId="0" applyFont="0" applyFill="0" applyBorder="0" applyAlignment="0" applyProtection="0"/>
    <xf numFmtId="169" fontId="26" fillId="0" borderId="0" applyFont="0" applyFill="0" applyBorder="0" applyAlignment="0" applyProtection="0"/>
    <xf numFmtId="169" fontId="1" fillId="0" borderId="0" applyFont="0" applyFill="0" applyBorder="0" applyAlignment="0" applyProtection="0"/>
    <xf numFmtId="44" fontId="26" fillId="0" borderId="0" applyFont="0" applyFill="0" applyBorder="0" applyAlignment="0" applyProtection="0"/>
    <xf numFmtId="44" fontId="1" fillId="0" borderId="0" applyFont="0" applyFill="0" applyBorder="0" applyAlignment="0" applyProtection="0"/>
    <xf numFmtId="167" fontId="1" fillId="0" borderId="0" applyFont="0" applyFill="0" applyBorder="0" applyAlignment="0" applyProtection="0"/>
    <xf numFmtId="167" fontId="15" fillId="3" borderId="0" applyNumberFormat="0" applyBorder="0" applyAlignment="0" applyProtection="0"/>
    <xf numFmtId="167" fontId="15" fillId="3" borderId="0" applyNumberFormat="0" applyBorder="0" applyAlignment="0" applyProtection="0"/>
    <xf numFmtId="168" fontId="1" fillId="0" borderId="0" applyFont="0" applyFill="0" applyBorder="0" applyAlignment="0" applyProtection="0"/>
    <xf numFmtId="168" fontId="26" fillId="0" borderId="0" applyFont="0" applyFill="0" applyBorder="0" applyAlignment="0" applyProtection="0"/>
    <xf numFmtId="44" fontId="26" fillId="0" borderId="0" applyFill="0" applyBorder="0" applyAlignment="0" applyProtection="0"/>
    <xf numFmtId="44" fontId="1" fillId="0" borderId="0" applyFill="0" applyBorder="0" applyAlignment="0" applyProtection="0"/>
    <xf numFmtId="167" fontId="16" fillId="22" borderId="0" applyNumberFormat="0" applyBorder="0" applyAlignment="0" applyProtection="0"/>
    <xf numFmtId="167" fontId="16" fillId="22" borderId="0" applyNumberFormat="0" applyBorder="0" applyAlignment="0" applyProtection="0"/>
    <xf numFmtId="167" fontId="1" fillId="0" borderId="0"/>
    <xf numFmtId="0" fontId="1" fillId="0" borderId="0"/>
    <xf numFmtId="167" fontId="1" fillId="0" borderId="0"/>
    <xf numFmtId="0" fontId="33" fillId="0" borderId="0"/>
    <xf numFmtId="0" fontId="33" fillId="0" borderId="0"/>
    <xf numFmtId="0" fontId="33" fillId="0" borderId="0"/>
    <xf numFmtId="0" fontId="1" fillId="0" borderId="0"/>
    <xf numFmtId="0" fontId="1" fillId="0" borderId="0"/>
    <xf numFmtId="0" fontId="33" fillId="0" borderId="0"/>
    <xf numFmtId="0" fontId="33" fillId="0" borderId="0"/>
    <xf numFmtId="0" fontId="30" fillId="0" borderId="0"/>
    <xf numFmtId="9" fontId="8"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26" fillId="0" borderId="0" applyFill="0" applyBorder="0" applyAlignment="0" applyProtection="0"/>
    <xf numFmtId="9" fontId="33" fillId="0" borderId="0" applyFont="0" applyFill="0" applyBorder="0" applyAlignment="0" applyProtection="0"/>
    <xf numFmtId="9" fontId="1" fillId="0" borderId="0" applyFill="0" applyBorder="0" applyAlignment="0" applyProtection="0"/>
    <xf numFmtId="9" fontId="26" fillId="0" borderId="0" applyFont="0" applyFill="0" applyBorder="0" applyAlignment="0" applyProtection="0"/>
    <xf numFmtId="167" fontId="17" fillId="4" borderId="0" applyNumberFormat="0" applyBorder="0" applyAlignment="0" applyProtection="0"/>
    <xf numFmtId="167" fontId="17" fillId="4" borderId="0" applyNumberFormat="0" applyBorder="0" applyAlignment="0" applyProtection="0"/>
    <xf numFmtId="167" fontId="18" fillId="20" borderId="4" applyNumberFormat="0" applyAlignment="0" applyProtection="0"/>
    <xf numFmtId="167" fontId="18" fillId="20" borderId="4" applyNumberFormat="0" applyAlignment="0" applyProtection="0"/>
    <xf numFmtId="167" fontId="19" fillId="0" borderId="0" applyNumberFormat="0" applyFill="0" applyBorder="0" applyAlignment="0" applyProtection="0"/>
    <xf numFmtId="167" fontId="19" fillId="0" borderId="0" applyNumberFormat="0" applyFill="0" applyBorder="0" applyAlignment="0" applyProtection="0"/>
    <xf numFmtId="167" fontId="20" fillId="0" borderId="0" applyNumberFormat="0" applyFill="0" applyBorder="0" applyAlignment="0" applyProtection="0"/>
    <xf numFmtId="167" fontId="20" fillId="0" borderId="0" applyNumberFormat="0" applyFill="0" applyBorder="0" applyAlignment="0" applyProtection="0"/>
    <xf numFmtId="167" fontId="21" fillId="0" borderId="5" applyNumberFormat="0" applyFill="0" applyAlignment="0" applyProtection="0"/>
    <xf numFmtId="167" fontId="21" fillId="0" borderId="5" applyNumberFormat="0" applyFill="0" applyAlignment="0" applyProtection="0"/>
    <xf numFmtId="167" fontId="22" fillId="0" borderId="6" applyNumberFormat="0" applyFill="0" applyAlignment="0" applyProtection="0"/>
    <xf numFmtId="167" fontId="22" fillId="0" borderId="6" applyNumberFormat="0" applyFill="0" applyAlignment="0" applyProtection="0"/>
    <xf numFmtId="167" fontId="23" fillId="0" borderId="7" applyNumberFormat="0" applyFill="0" applyAlignment="0" applyProtection="0"/>
    <xf numFmtId="167" fontId="23" fillId="0" borderId="7" applyNumberFormat="0" applyFill="0" applyAlignment="0" applyProtection="0"/>
    <xf numFmtId="167" fontId="23" fillId="0" borderId="0" applyNumberFormat="0" applyFill="0" applyBorder="0" applyAlignment="0" applyProtection="0"/>
    <xf numFmtId="167" fontId="23" fillId="0" borderId="0" applyNumberFormat="0" applyFill="0" applyBorder="0" applyAlignment="0" applyProtection="0"/>
    <xf numFmtId="167" fontId="24" fillId="0" borderId="8" applyNumberFormat="0" applyFill="0" applyAlignment="0" applyProtection="0"/>
    <xf numFmtId="167" fontId="24" fillId="0" borderId="8" applyNumberFormat="0" applyFill="0" applyAlignment="0" applyProtection="0"/>
    <xf numFmtId="167" fontId="25" fillId="23" borderId="9" applyNumberFormat="0" applyAlignment="0" applyProtection="0"/>
    <xf numFmtId="167" fontId="25" fillId="23" borderId="9" applyNumberFormat="0" applyAlignment="0" applyProtection="0"/>
  </cellStyleXfs>
  <cellXfs count="124">
    <xf numFmtId="0" fontId="0" fillId="0" borderId="0" xfId="0"/>
    <xf numFmtId="0" fontId="2" fillId="0" borderId="0" xfId="0" applyFont="1" applyFill="1" applyAlignment="1">
      <alignment horizontal="center" vertical="center" wrapText="1"/>
    </xf>
    <xf numFmtId="0" fontId="3" fillId="0" borderId="0" xfId="0" applyFont="1" applyFill="1" applyAlignment="1" applyProtection="1">
      <alignment vertical="center" wrapText="1"/>
      <protection locked="0"/>
    </xf>
    <xf numFmtId="0" fontId="3" fillId="0" borderId="0" xfId="0" applyNumberFormat="1" applyFont="1" applyFill="1" applyAlignment="1" applyProtection="1">
      <alignment horizontal="center" vertical="center" wrapText="1"/>
      <protection locked="0"/>
    </xf>
    <xf numFmtId="164" fontId="3" fillId="0" borderId="0" xfId="0" applyNumberFormat="1" applyFont="1" applyFill="1" applyAlignment="1" applyProtection="1">
      <alignment vertical="center" wrapText="1"/>
    </xf>
    <xf numFmtId="0" fontId="3" fillId="0" borderId="0" xfId="0" applyFont="1" applyFill="1" applyAlignment="1">
      <alignment vertical="center" wrapText="1"/>
    </xf>
    <xf numFmtId="0" fontId="3" fillId="0" borderId="0" xfId="0" applyFont="1" applyFill="1" applyBorder="1" applyAlignment="1">
      <alignment vertical="center" wrapText="1"/>
    </xf>
    <xf numFmtId="0" fontId="2" fillId="0" borderId="0" xfId="0" applyFont="1" applyFill="1" applyBorder="1" applyAlignment="1">
      <alignment vertical="center" wrapText="1"/>
    </xf>
    <xf numFmtId="0" fontId="3" fillId="0" borderId="0" xfId="0" applyFont="1" applyFill="1" applyBorder="1" applyAlignment="1">
      <alignment vertical="top" wrapText="1"/>
    </xf>
    <xf numFmtId="165" fontId="3" fillId="0" borderId="10" xfId="0" applyNumberFormat="1" applyFont="1" applyFill="1" applyBorder="1" applyAlignment="1" applyProtection="1">
      <alignment horizontal="right" vertical="center" wrapText="1"/>
    </xf>
    <xf numFmtId="166" fontId="3" fillId="0" borderId="0" xfId="59" applyFont="1" applyFill="1" applyAlignment="1" applyProtection="1">
      <alignment vertical="center" wrapText="1"/>
    </xf>
    <xf numFmtId="0" fontId="2" fillId="0" borderId="0" xfId="0" applyFont="1" applyFill="1" applyAlignment="1">
      <alignment vertical="center" wrapText="1"/>
    </xf>
    <xf numFmtId="0" fontId="3" fillId="0" borderId="0" xfId="0" applyFont="1" applyFill="1" applyBorder="1" applyAlignment="1">
      <alignment horizontal="left" vertical="top" wrapText="1"/>
    </xf>
    <xf numFmtId="0" fontId="3" fillId="0" borderId="0" xfId="0" applyFont="1" applyFill="1" applyBorder="1" applyAlignment="1">
      <alignment horizontal="right" vertical="top" wrapText="1"/>
    </xf>
    <xf numFmtId="166" fontId="2" fillId="0" borderId="11" xfId="59" applyFont="1" applyFill="1" applyBorder="1" applyAlignment="1" applyProtection="1">
      <alignment horizontal="right" vertical="center" wrapText="1"/>
    </xf>
    <xf numFmtId="165" fontId="3" fillId="0" borderId="11" xfId="0" applyNumberFormat="1" applyFont="1" applyFill="1" applyBorder="1" applyAlignment="1" applyProtection="1">
      <alignment horizontal="right" vertical="center" wrapText="1"/>
    </xf>
    <xf numFmtId="165" fontId="3" fillId="0" borderId="12" xfId="0" applyNumberFormat="1" applyFont="1" applyFill="1" applyBorder="1" applyAlignment="1" applyProtection="1">
      <alignment horizontal="right" vertical="center" wrapText="1"/>
    </xf>
    <xf numFmtId="165" fontId="3" fillId="0" borderId="13" xfId="0" applyNumberFormat="1" applyFont="1" applyFill="1" applyBorder="1" applyAlignment="1" applyProtection="1">
      <alignment horizontal="right" vertical="center" wrapText="1"/>
    </xf>
    <xf numFmtId="166" fontId="2" fillId="0" borderId="13" xfId="59" applyFont="1" applyFill="1" applyBorder="1" applyAlignment="1" applyProtection="1">
      <alignment horizontal="right" vertical="center" wrapText="1"/>
    </xf>
    <xf numFmtId="0" fontId="2" fillId="0" borderId="14" xfId="0" applyFont="1" applyFill="1" applyBorder="1" applyAlignment="1">
      <alignment horizontal="center" vertical="center"/>
    </xf>
    <xf numFmtId="0" fontId="2" fillId="0" borderId="15" xfId="0" applyFont="1" applyFill="1" applyBorder="1" applyAlignment="1">
      <alignment vertical="top" wrapText="1"/>
    </xf>
    <xf numFmtId="0" fontId="2" fillId="0" borderId="15" xfId="0" applyNumberFormat="1" applyFont="1" applyFill="1" applyBorder="1" applyAlignment="1">
      <alignment horizontal="left" vertical="top" wrapText="1"/>
    </xf>
    <xf numFmtId="0" fontId="3" fillId="0" borderId="15" xfId="0" applyNumberFormat="1"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Border="1" applyAlignment="1">
      <alignment vertical="top" wrapText="1"/>
    </xf>
    <xf numFmtId="0" fontId="3" fillId="0" borderId="16" xfId="0" applyFont="1" applyFill="1" applyBorder="1" applyAlignment="1">
      <alignment vertical="top" wrapText="1"/>
    </xf>
    <xf numFmtId="0" fontId="3" fillId="0" borderId="14"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2" fillId="0" borderId="18" xfId="0" applyFont="1" applyFill="1" applyBorder="1" applyAlignment="1">
      <alignment horizontal="center" vertical="center"/>
    </xf>
    <xf numFmtId="10" fontId="2" fillId="0" borderId="0" xfId="89" applyNumberFormat="1" applyFont="1" applyFill="1" applyAlignment="1">
      <alignment vertical="center" wrapText="1"/>
    </xf>
    <xf numFmtId="0" fontId="2" fillId="0" borderId="18" xfId="0" applyFont="1" applyFill="1" applyBorder="1" applyAlignment="1">
      <alignment vertical="center" wrapText="1"/>
    </xf>
    <xf numFmtId="0" fontId="3" fillId="0" borderId="19" xfId="0" applyFont="1" applyFill="1" applyBorder="1" applyAlignment="1">
      <alignment horizontal="center" vertical="center" wrapText="1"/>
    </xf>
    <xf numFmtId="0" fontId="3" fillId="0" borderId="0" xfId="0" applyNumberFormat="1" applyFont="1" applyFill="1" applyBorder="1" applyAlignment="1">
      <alignment horizontal="left" vertical="top" wrapText="1"/>
    </xf>
    <xf numFmtId="0" fontId="29" fillId="0" borderId="0" xfId="0" applyFont="1" applyFill="1" applyBorder="1" applyAlignment="1">
      <alignment vertical="top" wrapText="1"/>
    </xf>
    <xf numFmtId="170" fontId="7" fillId="0" borderId="20" xfId="0" applyNumberFormat="1" applyFont="1" applyFill="1" applyBorder="1" applyAlignment="1" applyProtection="1">
      <alignment horizontal="right" vertical="center" wrapText="1"/>
    </xf>
    <xf numFmtId="170" fontId="7" fillId="0" borderId="0" xfId="84" applyNumberFormat="1" applyFont="1" applyFill="1" applyBorder="1" applyAlignment="1" applyProtection="1">
      <alignment horizontal="right" vertical="center" wrapText="1"/>
    </xf>
    <xf numFmtId="0" fontId="3" fillId="0" borderId="0" xfId="0" applyFont="1" applyFill="1" applyBorder="1" applyAlignment="1">
      <alignment horizontal="center" vertical="center" wrapText="1"/>
    </xf>
    <xf numFmtId="170" fontId="7" fillId="0" borderId="0" xfId="0" applyNumberFormat="1" applyFont="1" applyFill="1" applyBorder="1" applyAlignment="1" applyProtection="1">
      <alignment horizontal="right" vertical="center" wrapText="1"/>
    </xf>
    <xf numFmtId="0" fontId="7" fillId="0" borderId="0" xfId="0" applyFont="1" applyFill="1" applyAlignment="1">
      <alignment vertical="center" wrapText="1"/>
    </xf>
    <xf numFmtId="0" fontId="7" fillId="0" borderId="0" xfId="0" applyFont="1" applyFill="1" applyBorder="1" applyAlignment="1">
      <alignment horizontal="center" vertical="center" wrapText="1"/>
    </xf>
    <xf numFmtId="166" fontId="2" fillId="0" borderId="0" xfId="59" applyFont="1" applyFill="1" applyBorder="1" applyAlignment="1" applyProtection="1">
      <alignment horizontal="right" vertical="center" wrapText="1"/>
    </xf>
    <xf numFmtId="0" fontId="27" fillId="0" borderId="20" xfId="84" applyFont="1" applyFill="1" applyBorder="1" applyAlignment="1">
      <alignment vertical="justify" wrapText="1"/>
    </xf>
    <xf numFmtId="0" fontId="27" fillId="0" borderId="15" xfId="84" applyFont="1" applyFill="1" applyBorder="1" applyAlignment="1">
      <alignment vertical="justify" wrapText="1"/>
    </xf>
    <xf numFmtId="0" fontId="3" fillId="0" borderId="15" xfId="0" applyFont="1" applyFill="1" applyBorder="1" applyAlignment="1">
      <alignment vertical="top" wrapText="1"/>
    </xf>
    <xf numFmtId="0" fontId="27" fillId="0" borderId="0" xfId="84" applyFont="1" applyFill="1" applyBorder="1" applyAlignment="1">
      <alignment vertical="justify" wrapText="1"/>
    </xf>
    <xf numFmtId="0" fontId="27" fillId="0" borderId="0" xfId="0" applyFont="1" applyFill="1" applyBorder="1" applyAlignment="1">
      <alignment vertical="center" wrapText="1"/>
    </xf>
    <xf numFmtId="0" fontId="3" fillId="0" borderId="14" xfId="0" applyFont="1" applyFill="1" applyBorder="1" applyAlignment="1">
      <alignment horizontal="center" vertical="center"/>
    </xf>
    <xf numFmtId="0" fontId="2" fillId="0" borderId="21" xfId="0" applyNumberFormat="1" applyFont="1" applyFill="1" applyBorder="1" applyAlignment="1">
      <alignment horizontal="center" vertical="center" wrapText="1"/>
    </xf>
    <xf numFmtId="0" fontId="2" fillId="0" borderId="22" xfId="0" applyNumberFormat="1" applyFont="1" applyFill="1" applyBorder="1" applyAlignment="1" applyProtection="1">
      <alignment horizontal="center" vertical="center" wrapText="1"/>
      <protection locked="0"/>
    </xf>
    <xf numFmtId="0" fontId="2" fillId="0" borderId="23" xfId="0" applyNumberFormat="1" applyFont="1" applyFill="1" applyBorder="1" applyAlignment="1" applyProtection="1">
      <alignment horizontal="center" vertical="center" wrapText="1"/>
      <protection locked="0"/>
    </xf>
    <xf numFmtId="0" fontId="2" fillId="0" borderId="24" xfId="0" applyNumberFormat="1" applyFont="1" applyFill="1" applyBorder="1" applyAlignment="1" applyProtection="1">
      <alignment horizontal="center" vertical="center" wrapText="1"/>
      <protection locked="0"/>
    </xf>
    <xf numFmtId="0" fontId="2" fillId="0" borderId="25" xfId="0" applyNumberFormat="1" applyFont="1" applyFill="1" applyBorder="1" applyAlignment="1" applyProtection="1">
      <alignment horizontal="center" vertical="center" wrapText="1"/>
    </xf>
    <xf numFmtId="0" fontId="2" fillId="0" borderId="22" xfId="59" applyNumberFormat="1" applyFont="1" applyFill="1" applyBorder="1" applyAlignment="1" applyProtection="1">
      <alignment horizontal="center" vertical="center" wrapText="1"/>
    </xf>
    <xf numFmtId="0" fontId="2" fillId="0" borderId="26" xfId="59" applyNumberFormat="1" applyFont="1" applyFill="1" applyBorder="1" applyAlignment="1" applyProtection="1">
      <alignment horizontal="center" vertical="center" wrapText="1"/>
    </xf>
    <xf numFmtId="0" fontId="2" fillId="0" borderId="27" xfId="0" applyFont="1" applyFill="1" applyBorder="1" applyAlignment="1">
      <alignment horizontal="center" vertical="center" wrapText="1"/>
    </xf>
    <xf numFmtId="0" fontId="3" fillId="0" borderId="28" xfId="0" applyFont="1" applyFill="1" applyBorder="1" applyAlignment="1">
      <alignment horizontal="center" vertical="center" wrapText="1"/>
    </xf>
    <xf numFmtId="0" fontId="6" fillId="0" borderId="29" xfId="0" applyFont="1" applyFill="1" applyBorder="1" applyAlignment="1">
      <alignment horizontal="center" vertical="center" wrapText="1"/>
    </xf>
    <xf numFmtId="166" fontId="2" fillId="0" borderId="30" xfId="59" applyFont="1" applyFill="1" applyBorder="1" applyAlignment="1" applyProtection="1">
      <alignment horizontal="right" vertical="center" wrapText="1"/>
    </xf>
    <xf numFmtId="0" fontId="4" fillId="24" borderId="31" xfId="0" applyFont="1" applyFill="1" applyBorder="1" applyAlignment="1">
      <alignment horizontal="center" vertical="center" wrapText="1"/>
    </xf>
    <xf numFmtId="0" fontId="32" fillId="24" borderId="32" xfId="0" applyFont="1" applyFill="1" applyBorder="1" applyAlignment="1">
      <alignment vertical="center" wrapText="1"/>
    </xf>
    <xf numFmtId="0" fontId="3" fillId="24" borderId="33" xfId="0" applyFont="1" applyFill="1" applyBorder="1" applyAlignment="1">
      <alignment horizontal="center" vertical="center" wrapText="1"/>
    </xf>
    <xf numFmtId="0" fontId="6" fillId="24" borderId="33" xfId="0" applyFont="1" applyFill="1" applyBorder="1" applyAlignment="1">
      <alignment horizontal="center" vertical="center" wrapText="1"/>
    </xf>
    <xf numFmtId="165" fontId="3" fillId="24" borderId="34" xfId="0" applyNumberFormat="1" applyFont="1" applyFill="1" applyBorder="1" applyAlignment="1" applyProtection="1">
      <alignment horizontal="right" vertical="center" wrapText="1"/>
    </xf>
    <xf numFmtId="166" fontId="2" fillId="24" borderId="34" xfId="59" applyFont="1" applyFill="1" applyBorder="1" applyAlignment="1" applyProtection="1">
      <alignment horizontal="right" vertical="center" wrapText="1"/>
    </xf>
    <xf numFmtId="166" fontId="2" fillId="24" borderId="35" xfId="59" applyFont="1" applyFill="1" applyBorder="1" applyAlignment="1" applyProtection="1">
      <alignment horizontal="right" vertical="center" wrapText="1"/>
    </xf>
    <xf numFmtId="0" fontId="2" fillId="0" borderId="27" xfId="0" applyFont="1" applyFill="1" applyBorder="1" applyAlignment="1">
      <alignment horizontal="center" vertical="center"/>
    </xf>
    <xf numFmtId="0" fontId="3" fillId="0" borderId="29" xfId="0" applyFont="1" applyFill="1" applyBorder="1" applyAlignment="1">
      <alignment horizontal="center" vertical="center" wrapText="1"/>
    </xf>
    <xf numFmtId="166" fontId="2" fillId="0" borderId="36" xfId="59" applyFont="1" applyFill="1" applyBorder="1" applyAlignment="1" applyProtection="1">
      <alignment horizontal="right" vertical="center" wrapText="1"/>
    </xf>
    <xf numFmtId="0" fontId="3" fillId="24" borderId="34" xfId="0" applyFont="1" applyFill="1" applyBorder="1" applyAlignment="1">
      <alignment horizontal="center" vertical="center" wrapText="1"/>
    </xf>
    <xf numFmtId="0" fontId="6" fillId="24" borderId="34" xfId="0" applyFont="1" applyFill="1" applyBorder="1" applyAlignment="1">
      <alignment horizontal="center" vertical="center" wrapText="1"/>
    </xf>
    <xf numFmtId="0" fontId="2" fillId="0" borderId="0" xfId="0" applyFont="1" applyBorder="1" applyAlignment="1">
      <alignment horizontal="justify" vertical="top"/>
    </xf>
    <xf numFmtId="0" fontId="3" fillId="0" borderId="0" xfId="0" applyFont="1" applyBorder="1" applyAlignment="1">
      <alignment horizontal="justify" vertical="top"/>
    </xf>
    <xf numFmtId="0" fontId="2" fillId="0" borderId="0" xfId="0" applyFont="1" applyFill="1" applyBorder="1" applyAlignment="1">
      <alignment horizontal="left" vertical="top"/>
    </xf>
    <xf numFmtId="0" fontId="3" fillId="0" borderId="0" xfId="0" applyFont="1" applyFill="1" applyBorder="1" applyAlignment="1">
      <alignment horizontal="left" vertical="top"/>
    </xf>
    <xf numFmtId="0" fontId="3" fillId="0" borderId="0" xfId="0" applyFont="1" applyFill="1" applyBorder="1" applyAlignment="1" applyProtection="1">
      <alignment horizontal="right" vertical="top" wrapText="1"/>
      <protection locked="0"/>
    </xf>
    <xf numFmtId="0" fontId="2" fillId="0" borderId="0" xfId="0" applyFont="1" applyBorder="1" applyAlignment="1">
      <alignment horizontal="justify" vertical="top" wrapText="1"/>
    </xf>
    <xf numFmtId="0" fontId="2" fillId="0" borderId="0" xfId="0" applyFont="1" applyFill="1" applyBorder="1" applyAlignment="1">
      <alignment horizontal="justify" vertical="top"/>
    </xf>
    <xf numFmtId="166" fontId="2" fillId="0" borderId="19" xfId="59" applyFont="1" applyFill="1" applyBorder="1" applyAlignment="1" applyProtection="1">
      <alignment horizontal="right" vertical="center" wrapText="1"/>
    </xf>
    <xf numFmtId="0" fontId="3" fillId="0" borderId="0" xfId="0" applyFont="1" applyFill="1" applyBorder="1" applyAlignment="1">
      <alignment horizontal="justify" vertical="top"/>
    </xf>
    <xf numFmtId="3" fontId="31" fillId="0" borderId="37" xfId="88" applyNumberFormat="1" applyFont="1" applyFill="1" applyBorder="1" applyAlignment="1">
      <alignment vertical="center"/>
    </xf>
    <xf numFmtId="0" fontId="7" fillId="0" borderId="19" xfId="0" applyFont="1" applyFill="1" applyBorder="1" applyAlignment="1">
      <alignment vertical="center" wrapText="1"/>
    </xf>
    <xf numFmtId="0" fontId="2" fillId="0" borderId="38" xfId="0" applyFont="1" applyFill="1" applyBorder="1" applyAlignment="1">
      <alignment horizontal="center" vertical="center"/>
    </xf>
    <xf numFmtId="164" fontId="2" fillId="0" borderId="39" xfId="0" applyNumberFormat="1" applyFont="1" applyFill="1" applyBorder="1" applyAlignment="1" applyProtection="1">
      <alignment horizontal="center" vertical="center" wrapText="1"/>
    </xf>
    <xf numFmtId="166" fontId="2" fillId="0" borderId="34" xfId="59" applyFont="1" applyFill="1" applyBorder="1" applyAlignment="1" applyProtection="1">
      <alignment horizontal="right" vertical="center" wrapText="1"/>
    </xf>
    <xf numFmtId="166" fontId="2" fillId="0" borderId="40" xfId="59" applyFont="1" applyFill="1" applyBorder="1" applyAlignment="1" applyProtection="1">
      <alignment horizontal="right" vertical="center" wrapText="1"/>
    </xf>
    <xf numFmtId="166" fontId="2" fillId="0" borderId="35" xfId="59" applyFont="1" applyFill="1" applyBorder="1" applyAlignment="1" applyProtection="1">
      <alignment horizontal="right" vertical="center" wrapText="1"/>
    </xf>
    <xf numFmtId="0" fontId="2" fillId="0" borderId="41" xfId="0" applyFont="1" applyFill="1" applyBorder="1" applyAlignment="1">
      <alignment horizontal="center" vertical="center"/>
    </xf>
    <xf numFmtId="0" fontId="2" fillId="0" borderId="42" xfId="0" applyFont="1" applyFill="1" applyBorder="1" applyAlignment="1">
      <alignment horizontal="center" vertical="center"/>
    </xf>
    <xf numFmtId="164" fontId="2" fillId="0" borderId="43" xfId="0" applyNumberFormat="1" applyFont="1" applyFill="1" applyBorder="1" applyAlignment="1" applyProtection="1">
      <alignment horizontal="center" vertical="center" wrapText="1"/>
    </xf>
    <xf numFmtId="166" fontId="2" fillId="0" borderId="44" xfId="59" applyFont="1" applyFill="1" applyBorder="1" applyAlignment="1" applyProtection="1">
      <alignment horizontal="right" vertical="center" wrapText="1"/>
    </xf>
    <xf numFmtId="166" fontId="2" fillId="0" borderId="45" xfId="59" applyFont="1" applyFill="1" applyBorder="1" applyAlignment="1" applyProtection="1">
      <alignment horizontal="right" vertical="center" wrapText="1"/>
    </xf>
    <xf numFmtId="166" fontId="2" fillId="0" borderId="46" xfId="59" applyFont="1" applyFill="1" applyBorder="1" applyAlignment="1" applyProtection="1">
      <alignment horizontal="right" vertical="center" wrapText="1"/>
    </xf>
    <xf numFmtId="0" fontId="34" fillId="0" borderId="0" xfId="79" applyFont="1" applyAlignment="1">
      <alignment vertical="center"/>
    </xf>
    <xf numFmtId="4" fontId="35" fillId="0" borderId="0" xfId="0" applyNumberFormat="1" applyFont="1" applyFill="1" applyBorder="1" applyAlignment="1" applyProtection="1">
      <alignment horizontal="right" vertical="center"/>
    </xf>
    <xf numFmtId="4" fontId="35" fillId="0" borderId="0" xfId="0" applyNumberFormat="1" applyFont="1" applyFill="1" applyBorder="1" applyAlignment="1" applyProtection="1">
      <alignment horizontal="right" vertical="center" wrapText="1"/>
    </xf>
    <xf numFmtId="4" fontId="35" fillId="0" borderId="0" xfId="0" applyNumberFormat="1" applyFont="1" applyBorder="1" applyAlignment="1" applyProtection="1">
      <alignment horizontal="right" vertical="center" wrapText="1"/>
    </xf>
    <xf numFmtId="4" fontId="35" fillId="0" borderId="0" xfId="0" applyNumberFormat="1" applyFont="1" applyBorder="1" applyAlignment="1" applyProtection="1">
      <alignment horizontal="right" vertical="center"/>
    </xf>
    <xf numFmtId="4" fontId="35" fillId="25" borderId="51" xfId="0" applyNumberFormat="1" applyFont="1" applyFill="1" applyBorder="1" applyAlignment="1" applyProtection="1">
      <alignment horizontal="right" vertical="center"/>
    </xf>
    <xf numFmtId="4" fontId="35" fillId="0" borderId="51" xfId="0" applyNumberFormat="1" applyFont="1" applyBorder="1" applyAlignment="1" applyProtection="1">
      <alignment horizontal="right" vertical="center"/>
    </xf>
    <xf numFmtId="4" fontId="35" fillId="25" borderId="52" xfId="0" applyNumberFormat="1" applyFont="1" applyFill="1" applyBorder="1" applyAlignment="1" applyProtection="1">
      <alignment horizontal="right" vertical="center"/>
    </xf>
    <xf numFmtId="4" fontId="35" fillId="0" borderId="52" xfId="0" applyNumberFormat="1" applyFont="1" applyBorder="1" applyAlignment="1" applyProtection="1">
      <alignment horizontal="right" vertical="center"/>
    </xf>
    <xf numFmtId="4" fontId="36" fillId="0" borderId="0" xfId="0" applyNumberFormat="1" applyFont="1" applyAlignment="1">
      <alignment vertical="center"/>
    </xf>
    <xf numFmtId="4" fontId="37" fillId="26" borderId="53" xfId="0" applyNumberFormat="1" applyFont="1" applyFill="1" applyBorder="1" applyAlignment="1">
      <alignment horizontal="center" vertical="center"/>
    </xf>
    <xf numFmtId="4" fontId="37" fillId="27" borderId="54" xfId="0" applyNumberFormat="1" applyFont="1" applyFill="1" applyBorder="1" applyAlignment="1">
      <alignment horizontal="center" vertical="center"/>
    </xf>
    <xf numFmtId="4" fontId="37" fillId="27" borderId="53" xfId="0" applyNumberFormat="1" applyFont="1" applyFill="1" applyBorder="1" applyAlignment="1">
      <alignment horizontal="center" vertical="center"/>
    </xf>
    <xf numFmtId="4" fontId="37" fillId="26" borderId="55" xfId="0" applyNumberFormat="1" applyFont="1" applyFill="1" applyBorder="1" applyAlignment="1">
      <alignment horizontal="center" vertical="center"/>
    </xf>
    <xf numFmtId="4" fontId="37" fillId="27" borderId="37" xfId="0" applyNumberFormat="1" applyFont="1" applyFill="1" applyBorder="1" applyAlignment="1">
      <alignment horizontal="center" vertical="center"/>
    </xf>
    <xf numFmtId="4" fontId="37" fillId="27" borderId="55" xfId="0" applyNumberFormat="1" applyFont="1" applyFill="1" applyBorder="1" applyAlignment="1">
      <alignment horizontal="center" vertical="center"/>
    </xf>
    <xf numFmtId="4" fontId="37" fillId="26" borderId="56" xfId="0" applyNumberFormat="1" applyFont="1" applyFill="1" applyBorder="1" applyAlignment="1">
      <alignment horizontal="center" vertical="center"/>
    </xf>
    <xf numFmtId="4" fontId="37" fillId="27" borderId="57" xfId="0" applyNumberFormat="1" applyFont="1" applyFill="1" applyBorder="1" applyAlignment="1">
      <alignment horizontal="center" vertical="center"/>
    </xf>
    <xf numFmtId="4" fontId="37" fillId="27" borderId="56" xfId="0" applyNumberFormat="1" applyFont="1" applyFill="1" applyBorder="1" applyAlignment="1">
      <alignment horizontal="center" vertical="center"/>
    </xf>
    <xf numFmtId="4" fontId="38" fillId="26" borderId="55" xfId="0" applyNumberFormat="1" applyFont="1" applyFill="1" applyBorder="1" applyAlignment="1">
      <alignment horizontal="center" vertical="center"/>
    </xf>
    <xf numFmtId="4" fontId="38" fillId="27" borderId="55" xfId="0" applyNumberFormat="1" applyFont="1" applyFill="1" applyBorder="1" applyAlignment="1">
      <alignment horizontal="center" vertical="center"/>
    </xf>
    <xf numFmtId="167" fontId="34" fillId="0" borderId="20" xfId="79" applyNumberFormat="1" applyFont="1" applyBorder="1" applyAlignment="1">
      <alignment horizontal="right" vertical="center"/>
    </xf>
    <xf numFmtId="0" fontId="3" fillId="0" borderId="42" xfId="0" applyFont="1" applyFill="1" applyBorder="1" applyAlignment="1">
      <alignment horizontal="center" vertical="center" wrapText="1"/>
    </xf>
    <xf numFmtId="0" fontId="3" fillId="0" borderId="47" xfId="0" applyFont="1" applyFill="1" applyBorder="1" applyAlignment="1">
      <alignment horizontal="center" vertical="center" wrapText="1"/>
    </xf>
    <xf numFmtId="0" fontId="0" fillId="0" borderId="48" xfId="0" applyBorder="1" applyAlignment="1">
      <alignment vertical="center" wrapText="1"/>
    </xf>
    <xf numFmtId="0" fontId="2" fillId="0" borderId="42" xfId="0" applyFont="1" applyFill="1" applyBorder="1" applyAlignment="1" applyProtection="1">
      <alignment horizontal="left" vertical="center" wrapText="1"/>
      <protection locked="0"/>
    </xf>
    <xf numFmtId="0" fontId="0" fillId="0" borderId="47" xfId="0" applyBorder="1" applyAlignment="1">
      <alignment horizontal="left" vertical="center" wrapText="1"/>
    </xf>
    <xf numFmtId="0" fontId="0" fillId="0" borderId="48" xfId="0" applyBorder="1" applyAlignment="1">
      <alignment horizontal="left" vertical="center" wrapText="1"/>
    </xf>
    <xf numFmtId="0" fontId="2" fillId="0" borderId="47" xfId="0" applyFont="1" applyFill="1" applyBorder="1" applyAlignment="1">
      <alignment horizontal="left" vertical="center" wrapText="1"/>
    </xf>
    <xf numFmtId="0" fontId="2" fillId="0" borderId="48" xfId="0" applyFont="1" applyFill="1" applyBorder="1" applyAlignment="1">
      <alignment horizontal="left" vertical="center" wrapText="1"/>
    </xf>
    <xf numFmtId="0" fontId="2" fillId="0" borderId="49" xfId="0" applyFont="1" applyFill="1" applyBorder="1" applyAlignment="1">
      <alignment horizontal="left" vertical="center" wrapText="1"/>
    </xf>
    <xf numFmtId="0" fontId="2" fillId="0" borderId="50" xfId="0" applyFont="1" applyFill="1" applyBorder="1" applyAlignment="1">
      <alignment horizontal="left" vertical="center" wrapText="1"/>
    </xf>
  </cellXfs>
  <cellStyles count="116">
    <cellStyle name="20 % - Accent1 2" xfId="1"/>
    <cellStyle name="20 % - Accent1 3" xfId="2"/>
    <cellStyle name="20 % - Accent2 2" xfId="3"/>
    <cellStyle name="20 % - Accent2 3" xfId="4"/>
    <cellStyle name="20 % - Accent3 2" xfId="5"/>
    <cellStyle name="20 % - Accent3 3" xfId="6"/>
    <cellStyle name="20 % - Accent4 2" xfId="7"/>
    <cellStyle name="20 % - Accent4 3" xfId="8"/>
    <cellStyle name="20 % - Accent5 2" xfId="9"/>
    <cellStyle name="20 % - Accent5 3" xfId="10"/>
    <cellStyle name="20 % - Accent6 2" xfId="11"/>
    <cellStyle name="20 % - Accent6 3" xfId="12"/>
    <cellStyle name="40 % - Accent1 2" xfId="13"/>
    <cellStyle name="40 % - Accent1 3" xfId="14"/>
    <cellStyle name="40 % - Accent2 2" xfId="15"/>
    <cellStyle name="40 % - Accent2 3" xfId="16"/>
    <cellStyle name="40 % - Accent3 2" xfId="17"/>
    <cellStyle name="40 % - Accent3 3" xfId="18"/>
    <cellStyle name="40 % - Accent4 2" xfId="19"/>
    <cellStyle name="40 % - Accent4 3" xfId="20"/>
    <cellStyle name="40 % - Accent5 2" xfId="21"/>
    <cellStyle name="40 % - Accent5 3" xfId="22"/>
    <cellStyle name="40 % - Accent6 2" xfId="23"/>
    <cellStyle name="40 % - Accent6 3" xfId="24"/>
    <cellStyle name="60 % - Accent1 2" xfId="25"/>
    <cellStyle name="60 % - Accent1 3" xfId="26"/>
    <cellStyle name="60 % - Accent2 2" xfId="27"/>
    <cellStyle name="60 % - Accent2 3" xfId="28"/>
    <cellStyle name="60 % - Accent3 2" xfId="29"/>
    <cellStyle name="60 % - Accent3 3" xfId="30"/>
    <cellStyle name="60 % - Accent4 2" xfId="31"/>
    <cellStyle name="60 % - Accent4 3" xfId="32"/>
    <cellStyle name="60 % - Accent5 2" xfId="33"/>
    <cellStyle name="60 % - Accent5 3" xfId="34"/>
    <cellStyle name="60 % - Accent6 2" xfId="35"/>
    <cellStyle name="60 % - Accent6 3" xfId="36"/>
    <cellStyle name="Accent1 2" xfId="37"/>
    <cellStyle name="Accent1 3" xfId="38"/>
    <cellStyle name="Accent2 2" xfId="39"/>
    <cellStyle name="Accent2 3" xfId="40"/>
    <cellStyle name="Accent3 2" xfId="41"/>
    <cellStyle name="Accent3 3" xfId="42"/>
    <cellStyle name="Accent4 2" xfId="43"/>
    <cellStyle name="Accent4 3" xfId="44"/>
    <cellStyle name="Accent5 2" xfId="45"/>
    <cellStyle name="Accent5 3" xfId="46"/>
    <cellStyle name="Accent6 2" xfId="47"/>
    <cellStyle name="Accent6 3" xfId="48"/>
    <cellStyle name="Avertissement 2" xfId="49"/>
    <cellStyle name="Avertissement 3" xfId="50"/>
    <cellStyle name="Calcul 2" xfId="51"/>
    <cellStyle name="Calcul 3" xfId="52"/>
    <cellStyle name="Cellule liée 2" xfId="53"/>
    <cellStyle name="Cellule liée 3" xfId="54"/>
    <cellStyle name="Commentaire 2" xfId="55"/>
    <cellStyle name="Commentaire 3" xfId="56"/>
    <cellStyle name="Entrée 2" xfId="57"/>
    <cellStyle name="Entrée 3" xfId="58"/>
    <cellStyle name="Euro" xfId="59"/>
    <cellStyle name="Euro 2" xfId="60"/>
    <cellStyle name="Euro 2 2" xfId="61"/>
    <cellStyle name="Euro 3" xfId="62"/>
    <cellStyle name="Euro 3 2" xfId="63"/>
    <cellStyle name="Euro 3 3" xfId="64"/>
    <cellStyle name="Euro 4" xfId="65"/>
    <cellStyle name="Euro 5" xfId="66"/>
    <cellStyle name="Euro 6" xfId="67"/>
    <cellStyle name="Euro 7" xfId="68"/>
    <cellStyle name="Euro_2006.07.26.Estim CVC Carmel DCE" xfId="69"/>
    <cellStyle name="Insatisfaisant 2" xfId="70"/>
    <cellStyle name="Insatisfaisant 3" xfId="71"/>
    <cellStyle name="Milliers 2" xfId="72"/>
    <cellStyle name="Milliers 3" xfId="73"/>
    <cellStyle name="Monétaire 2" xfId="74"/>
    <cellStyle name="Monétaire 3" xfId="75"/>
    <cellStyle name="Neutre 2" xfId="76"/>
    <cellStyle name="Neutre 3" xfId="77"/>
    <cellStyle name="Normal" xfId="0" builtinId="0"/>
    <cellStyle name="Normal 2" xfId="78"/>
    <cellStyle name="Normal 2 2" xfId="79"/>
    <cellStyle name="Normal 3" xfId="80"/>
    <cellStyle name="Normal 3 2" xfId="81"/>
    <cellStyle name="Normal 3 3" xfId="82"/>
    <cellStyle name="Normal 3 4" xfId="83"/>
    <cellStyle name="Normal 4" xfId="84"/>
    <cellStyle name="Normal 5" xfId="85"/>
    <cellStyle name="Normal 6" xfId="86"/>
    <cellStyle name="Normal 7" xfId="87"/>
    <cellStyle name="Normal_DPGF bibliothèque et UCP" xfId="88"/>
    <cellStyle name="Pourcentage" xfId="89" builtinId="5"/>
    <cellStyle name="Pourcentage 2" xfId="90"/>
    <cellStyle name="Pourcentage 2 2" xfId="91"/>
    <cellStyle name="Pourcentage 3" xfId="92"/>
    <cellStyle name="Pourcentage 3 2" xfId="93"/>
    <cellStyle name="Pourcentage 4" xfId="94"/>
    <cellStyle name="Pourcentage 5" xfId="95"/>
    <cellStyle name="Satisfaisant 2" xfId="96"/>
    <cellStyle name="Satisfaisant 3" xfId="97"/>
    <cellStyle name="Sortie 2" xfId="98"/>
    <cellStyle name="Sortie 3" xfId="99"/>
    <cellStyle name="Texte explicatif 2" xfId="100"/>
    <cellStyle name="Texte explicatif 3" xfId="101"/>
    <cellStyle name="Titre 2" xfId="102"/>
    <cellStyle name="Titre 3" xfId="103"/>
    <cellStyle name="Titre 1 2" xfId="104"/>
    <cellStyle name="Titre 1 3" xfId="105"/>
    <cellStyle name="Titre 2 2" xfId="106"/>
    <cellStyle name="Titre 2 3" xfId="107"/>
    <cellStyle name="Titre 3 2" xfId="108"/>
    <cellStyle name="Titre 3 3" xfId="109"/>
    <cellStyle name="Titre 4 2" xfId="110"/>
    <cellStyle name="Titre 4 3" xfId="111"/>
    <cellStyle name="Total 2" xfId="112"/>
    <cellStyle name="Total 3" xfId="113"/>
    <cellStyle name="Vérification 2" xfId="114"/>
    <cellStyle name="Vérification 3" xfId="115"/>
  </cellStyles>
  <dxfs count="1">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8"/>
  <sheetViews>
    <sheetView showZeros="0" tabSelected="1" view="pageBreakPreview" zoomScale="85" zoomScaleNormal="85" zoomScaleSheetLayoutView="85" zoomScalePageLayoutView="70" workbookViewId="0">
      <selection activeCell="B4" sqref="B4"/>
    </sheetView>
  </sheetViews>
  <sheetFormatPr baseColWidth="10" defaultColWidth="11.453125" defaultRowHeight="15.5" outlineLevelRow="1"/>
  <cols>
    <col min="1" max="1" width="11" style="1" customWidth="1"/>
    <col min="2" max="2" width="84.7265625" style="2" customWidth="1"/>
    <col min="3" max="3" width="5.453125" style="3" customWidth="1"/>
    <col min="4" max="4" width="7.7265625" style="3" bestFit="1" customWidth="1"/>
    <col min="5" max="5" width="13.453125" style="4" customWidth="1"/>
    <col min="6" max="6" width="15.26953125" style="10" customWidth="1"/>
    <col min="7" max="8" width="16.54296875" style="11" customWidth="1"/>
    <col min="9" max="9" width="16.54296875" style="5" bestFit="1" customWidth="1"/>
    <col min="10" max="10" width="7.453125" style="11" customWidth="1"/>
    <col min="11" max="11" width="15.81640625" style="5" customWidth="1"/>
    <col min="12" max="12" width="12.54296875" style="5" customWidth="1"/>
    <col min="13" max="16384" width="11.453125" style="5"/>
  </cols>
  <sheetData>
    <row r="1" spans="1:12">
      <c r="I1" s="92"/>
      <c r="J1" s="93"/>
      <c r="K1" s="94"/>
      <c r="L1" s="95"/>
    </row>
    <row r="2" spans="1:12">
      <c r="I2" s="96" t="s">
        <v>448</v>
      </c>
      <c r="J2" s="97">
        <v>26</v>
      </c>
      <c r="K2" s="98" t="s">
        <v>449</v>
      </c>
      <c r="L2" s="97">
        <v>1.25</v>
      </c>
    </row>
    <row r="3" spans="1:12">
      <c r="I3" s="96" t="s">
        <v>450</v>
      </c>
      <c r="J3" s="99">
        <v>1.3</v>
      </c>
      <c r="K3" s="100" t="s">
        <v>451</v>
      </c>
      <c r="L3" s="99">
        <v>1</v>
      </c>
    </row>
    <row r="4" spans="1:12">
      <c r="I4" s="96"/>
      <c r="J4" s="101" t="s">
        <v>452</v>
      </c>
      <c r="K4" s="101"/>
      <c r="L4" s="101">
        <f>SUM(K14:K268)</f>
        <v>0</v>
      </c>
    </row>
    <row r="5" spans="1:12">
      <c r="I5" s="101"/>
      <c r="J5" s="101" t="s">
        <v>453</v>
      </c>
      <c r="K5" s="101"/>
      <c r="L5" s="101">
        <f>SUM(L14:L268)</f>
        <v>0</v>
      </c>
    </row>
    <row r="6" spans="1:12">
      <c r="I6" s="101"/>
      <c r="J6" s="101" t="s">
        <v>454</v>
      </c>
      <c r="K6" s="101"/>
      <c r="L6" s="101">
        <f>L4+L5*$H$2</f>
        <v>0</v>
      </c>
    </row>
    <row r="7" spans="1:12">
      <c r="I7" s="101"/>
      <c r="J7" s="101" t="s">
        <v>455</v>
      </c>
      <c r="K7" s="101"/>
      <c r="L7" s="101" t="e">
        <f>#REF!</f>
        <v>#REF!</v>
      </c>
    </row>
    <row r="8" spans="1:12">
      <c r="I8" s="101"/>
      <c r="J8" s="101"/>
      <c r="K8" s="101"/>
      <c r="L8" s="101"/>
    </row>
    <row r="9" spans="1:12">
      <c r="I9" s="92"/>
      <c r="J9" s="92"/>
      <c r="K9" s="92"/>
      <c r="L9" s="92"/>
    </row>
    <row r="10" spans="1:12" ht="16" thickBot="1">
      <c r="I10" s="92"/>
      <c r="J10" s="92"/>
      <c r="K10" s="92"/>
      <c r="L10" s="92"/>
    </row>
    <row r="11" spans="1:12" ht="16" thickBot="1">
      <c r="I11" s="102"/>
      <c r="J11" s="102"/>
      <c r="K11" s="103"/>
      <c r="L11" s="104"/>
    </row>
    <row r="12" spans="1:12" s="1" customFormat="1" ht="57.75" customHeight="1" thickBot="1">
      <c r="A12" s="47" t="s">
        <v>10</v>
      </c>
      <c r="B12" s="48" t="s">
        <v>0</v>
      </c>
      <c r="C12" s="49" t="s">
        <v>1</v>
      </c>
      <c r="D12" s="50" t="s">
        <v>2</v>
      </c>
      <c r="E12" s="51" t="s">
        <v>6</v>
      </c>
      <c r="F12" s="52" t="s">
        <v>7</v>
      </c>
      <c r="G12" s="52" t="s">
        <v>8</v>
      </c>
      <c r="H12" s="53" t="s">
        <v>9</v>
      </c>
      <c r="I12" s="105" t="s">
        <v>456</v>
      </c>
      <c r="J12" s="105" t="s">
        <v>457</v>
      </c>
      <c r="K12" s="106" t="s">
        <v>458</v>
      </c>
      <c r="L12" s="107" t="s">
        <v>459</v>
      </c>
    </row>
    <row r="13" spans="1:12" ht="16" thickBot="1">
      <c r="A13" s="114"/>
      <c r="B13" s="115"/>
      <c r="C13" s="115"/>
      <c r="D13" s="115"/>
      <c r="E13" s="115"/>
      <c r="F13" s="115"/>
      <c r="G13" s="115"/>
      <c r="H13" s="116"/>
      <c r="I13" s="108"/>
      <c r="J13" s="108"/>
      <c r="K13" s="109"/>
      <c r="L13" s="110"/>
    </row>
    <row r="14" spans="1:12" ht="82.5" customHeight="1" thickBot="1">
      <c r="A14" s="117" t="s">
        <v>15</v>
      </c>
      <c r="B14" s="118"/>
      <c r="C14" s="118"/>
      <c r="D14" s="118"/>
      <c r="E14" s="118"/>
      <c r="F14" s="118"/>
      <c r="G14" s="118"/>
      <c r="H14" s="119"/>
      <c r="I14" s="111"/>
      <c r="J14" s="111"/>
      <c r="K14" s="112"/>
      <c r="L14" s="112"/>
    </row>
    <row r="15" spans="1:12" ht="16" thickBot="1">
      <c r="A15" s="54"/>
      <c r="B15" s="7"/>
      <c r="C15" s="55"/>
      <c r="D15" s="56"/>
      <c r="E15" s="9"/>
      <c r="F15" s="15"/>
      <c r="G15" s="14"/>
      <c r="H15" s="57"/>
      <c r="I15" s="111"/>
      <c r="J15" s="111"/>
      <c r="K15" s="112"/>
      <c r="L15" s="112"/>
    </row>
    <row r="16" spans="1:12" ht="29.25" customHeight="1" thickBot="1">
      <c r="A16" s="58">
        <v>1</v>
      </c>
      <c r="B16" s="59" t="s">
        <v>359</v>
      </c>
      <c r="C16" s="60"/>
      <c r="D16" s="61"/>
      <c r="E16" s="62"/>
      <c r="F16" s="62"/>
      <c r="G16" s="63"/>
      <c r="H16" s="64"/>
      <c r="I16" s="111"/>
      <c r="J16" s="111"/>
      <c r="K16" s="112"/>
      <c r="L16" s="112"/>
    </row>
    <row r="17" spans="1:12">
      <c r="A17" s="65"/>
      <c r="B17" s="24"/>
      <c r="C17" s="55"/>
      <c r="D17" s="66"/>
      <c r="E17" s="9"/>
      <c r="F17" s="15"/>
      <c r="G17" s="14"/>
      <c r="H17" s="57"/>
      <c r="I17" s="111"/>
      <c r="J17" s="111"/>
      <c r="K17" s="112"/>
      <c r="L17" s="112"/>
    </row>
    <row r="18" spans="1:12">
      <c r="A18" s="65" t="s">
        <v>357</v>
      </c>
      <c r="B18" s="24" t="s">
        <v>11</v>
      </c>
      <c r="C18" s="26"/>
      <c r="D18" s="27"/>
      <c r="E18" s="9"/>
      <c r="F18" s="15"/>
      <c r="G18" s="14"/>
      <c r="H18" s="57"/>
      <c r="I18" s="111"/>
      <c r="J18" s="111"/>
      <c r="K18" s="112"/>
      <c r="L18" s="112"/>
    </row>
    <row r="19" spans="1:12" outlineLevel="1">
      <c r="A19" s="65"/>
      <c r="B19" s="24"/>
      <c r="C19" s="26"/>
      <c r="D19" s="27"/>
      <c r="E19" s="9"/>
      <c r="F19" s="15"/>
      <c r="G19" s="14"/>
      <c r="H19" s="57"/>
      <c r="I19" s="111"/>
      <c r="J19" s="111"/>
      <c r="K19" s="112"/>
      <c r="L19" s="112"/>
    </row>
    <row r="20" spans="1:12" outlineLevel="1">
      <c r="A20" s="54"/>
      <c r="B20" s="25" t="s">
        <v>13</v>
      </c>
      <c r="C20" s="26" t="s">
        <v>3</v>
      </c>
      <c r="D20" s="27"/>
      <c r="E20" s="113" t="str">
        <f>IF(D20="","",(((K20*$L$2)+(L20*$J$2*$J$3))*$L$3)/D20)</f>
        <v/>
      </c>
      <c r="F20" s="34" t="str">
        <f>IF(D20="","",D20*E20)</f>
        <v/>
      </c>
      <c r="G20" s="14"/>
      <c r="H20" s="57"/>
      <c r="I20" s="111"/>
      <c r="J20" s="111"/>
      <c r="K20" s="112" t="str">
        <f>IF(D20="","",I20*D20)</f>
        <v/>
      </c>
      <c r="L20" s="112" t="str">
        <f>IF(D20="","",D20*J20)</f>
        <v/>
      </c>
    </row>
    <row r="21" spans="1:12" outlineLevel="1">
      <c r="A21" s="54"/>
      <c r="B21" s="8"/>
      <c r="C21" s="26"/>
      <c r="D21" s="27"/>
      <c r="E21" s="113" t="str">
        <f t="shared" ref="E21:E25" si="0">IF(D21="","",(((K21*$L$2)+(L21*$J$2*$J$3))*$L$3)/D21)</f>
        <v/>
      </c>
      <c r="F21" s="34" t="str">
        <f t="shared" ref="F21:F25" si="1">IF(D21="","",D21*E21)</f>
        <v/>
      </c>
      <c r="G21" s="14"/>
      <c r="H21" s="57"/>
      <c r="I21" s="111"/>
      <c r="J21" s="111"/>
      <c r="K21" s="112" t="str">
        <f t="shared" ref="K21:K25" si="2">IF(D21="","",I21*D21)</f>
        <v/>
      </c>
      <c r="L21" s="112" t="str">
        <f t="shared" ref="L21:L25" si="3">IF(D21="","",D21*J21)</f>
        <v/>
      </c>
    </row>
    <row r="22" spans="1:12">
      <c r="A22" s="65" t="s">
        <v>358</v>
      </c>
      <c r="B22" s="24" t="s">
        <v>200</v>
      </c>
      <c r="C22" s="26"/>
      <c r="D22" s="27"/>
      <c r="E22" s="113" t="str">
        <f t="shared" si="0"/>
        <v/>
      </c>
      <c r="F22" s="34" t="str">
        <f t="shared" si="1"/>
        <v/>
      </c>
      <c r="G22" s="14"/>
      <c r="H22" s="57"/>
      <c r="I22" s="111"/>
      <c r="J22" s="111"/>
      <c r="K22" s="112" t="str">
        <f t="shared" si="2"/>
        <v/>
      </c>
      <c r="L22" s="112" t="str">
        <f t="shared" si="3"/>
        <v/>
      </c>
    </row>
    <row r="23" spans="1:12" outlineLevel="1">
      <c r="A23" s="65"/>
      <c r="B23" s="24"/>
      <c r="C23" s="26"/>
      <c r="D23" s="27"/>
      <c r="E23" s="113" t="str">
        <f t="shared" si="0"/>
        <v/>
      </c>
      <c r="F23" s="34" t="str">
        <f t="shared" si="1"/>
        <v/>
      </c>
      <c r="G23" s="14"/>
      <c r="H23" s="57"/>
      <c r="I23" s="111"/>
      <c r="J23" s="111"/>
      <c r="K23" s="112" t="str">
        <f t="shared" si="2"/>
        <v/>
      </c>
      <c r="L23" s="112" t="str">
        <f t="shared" si="3"/>
        <v/>
      </c>
    </row>
    <row r="24" spans="1:12" outlineLevel="1">
      <c r="A24" s="54"/>
      <c r="B24" s="25" t="s">
        <v>413</v>
      </c>
      <c r="C24" s="26" t="s">
        <v>3</v>
      </c>
      <c r="D24" s="27"/>
      <c r="E24" s="113" t="str">
        <f t="shared" si="0"/>
        <v/>
      </c>
      <c r="F24" s="34" t="str">
        <f t="shared" si="1"/>
        <v/>
      </c>
      <c r="G24" s="14"/>
      <c r="H24" s="57"/>
      <c r="I24" s="111"/>
      <c r="J24" s="111"/>
      <c r="K24" s="112" t="str">
        <f t="shared" si="2"/>
        <v/>
      </c>
      <c r="L24" s="112" t="str">
        <f t="shared" si="3"/>
        <v/>
      </c>
    </row>
    <row r="25" spans="1:12" outlineLevel="1">
      <c r="A25" s="65"/>
      <c r="B25" s="24"/>
      <c r="C25" s="26"/>
      <c r="D25" s="27"/>
      <c r="E25" s="113" t="str">
        <f t="shared" si="0"/>
        <v/>
      </c>
      <c r="F25" s="34" t="str">
        <f t="shared" si="1"/>
        <v/>
      </c>
      <c r="G25" s="14"/>
      <c r="H25" s="57"/>
      <c r="I25" s="111"/>
      <c r="J25" s="111"/>
      <c r="K25" s="112" t="str">
        <f t="shared" si="2"/>
        <v/>
      </c>
      <c r="L25" s="112" t="str">
        <f t="shared" si="3"/>
        <v/>
      </c>
    </row>
    <row r="26" spans="1:12" ht="16" thickBot="1">
      <c r="A26" s="54"/>
      <c r="B26" s="6"/>
      <c r="C26" s="26"/>
      <c r="D26" s="27"/>
      <c r="E26" s="16"/>
      <c r="F26" s="17"/>
      <c r="G26" s="18"/>
      <c r="H26" s="67"/>
      <c r="I26" s="111"/>
      <c r="J26" s="111"/>
      <c r="K26" s="112"/>
      <c r="L26" s="112"/>
    </row>
    <row r="27" spans="1:12" ht="18.5" thickBot="1">
      <c r="A27" s="58">
        <v>2</v>
      </c>
      <c r="B27" s="59" t="s">
        <v>27</v>
      </c>
      <c r="C27" s="68"/>
      <c r="D27" s="69"/>
      <c r="E27" s="62"/>
      <c r="F27" s="62"/>
      <c r="G27" s="63"/>
      <c r="H27" s="64"/>
      <c r="I27" s="111"/>
      <c r="J27" s="111"/>
      <c r="K27" s="112"/>
      <c r="L27" s="112"/>
    </row>
    <row r="28" spans="1:12">
      <c r="A28" s="54"/>
      <c r="B28" s="70"/>
      <c r="C28" s="26"/>
      <c r="D28" s="27"/>
      <c r="E28" s="9"/>
      <c r="F28" s="15"/>
      <c r="G28" s="14"/>
      <c r="H28" s="57"/>
      <c r="I28" s="111"/>
      <c r="J28" s="111"/>
      <c r="K28" s="112"/>
      <c r="L28" s="112"/>
    </row>
    <row r="29" spans="1:12">
      <c r="A29" s="54" t="s">
        <v>16</v>
      </c>
      <c r="B29" s="70" t="s">
        <v>17</v>
      </c>
      <c r="C29" s="26"/>
      <c r="D29" s="27"/>
      <c r="E29" s="113" t="str">
        <f t="shared" ref="E29:E70" si="4">IF(D29="","",(((K29*$L$2)+(L29*$J$2*$J$3))*$L$3)/D29)</f>
        <v/>
      </c>
      <c r="F29" s="34" t="str">
        <f t="shared" ref="F29:F70" si="5">IF(D29="","",D29*E29)</f>
        <v/>
      </c>
      <c r="G29" s="14"/>
      <c r="H29" s="57"/>
      <c r="I29" s="111"/>
      <c r="J29" s="111"/>
      <c r="K29" s="112" t="str">
        <f t="shared" ref="K29:K70" si="6">IF(D29="","",I29*D29)</f>
        <v/>
      </c>
      <c r="L29" s="112" t="str">
        <f t="shared" ref="L29:L70" si="7">IF(D29="","",D29*J29)</f>
        <v/>
      </c>
    </row>
    <row r="30" spans="1:12" ht="15.75" customHeight="1" outlineLevel="1">
      <c r="A30" s="54"/>
      <c r="B30" s="70"/>
      <c r="C30" s="26"/>
      <c r="D30" s="27"/>
      <c r="E30" s="113" t="str">
        <f t="shared" si="4"/>
        <v/>
      </c>
      <c r="F30" s="34" t="str">
        <f t="shared" si="5"/>
        <v/>
      </c>
      <c r="G30" s="14"/>
      <c r="H30" s="57"/>
      <c r="I30" s="111"/>
      <c r="J30" s="111"/>
      <c r="K30" s="112" t="str">
        <f t="shared" si="6"/>
        <v/>
      </c>
      <c r="L30" s="112" t="str">
        <f t="shared" si="7"/>
        <v/>
      </c>
    </row>
    <row r="31" spans="1:12" outlineLevel="1">
      <c r="A31" s="54"/>
      <c r="B31" s="25" t="s">
        <v>22</v>
      </c>
      <c r="C31" s="26" t="s">
        <v>3</v>
      </c>
      <c r="D31" s="27"/>
      <c r="E31" s="113" t="str">
        <f t="shared" si="4"/>
        <v/>
      </c>
      <c r="F31" s="34" t="str">
        <f t="shared" si="5"/>
        <v/>
      </c>
      <c r="G31" s="14"/>
      <c r="H31" s="57"/>
      <c r="I31" s="111"/>
      <c r="J31" s="111"/>
      <c r="K31" s="112" t="str">
        <f t="shared" si="6"/>
        <v/>
      </c>
      <c r="L31" s="112" t="str">
        <f t="shared" si="7"/>
        <v/>
      </c>
    </row>
    <row r="32" spans="1:12" outlineLevel="1">
      <c r="A32" s="54"/>
      <c r="B32" s="25" t="s">
        <v>23</v>
      </c>
      <c r="C32" s="26" t="s">
        <v>26</v>
      </c>
      <c r="D32" s="27"/>
      <c r="E32" s="113" t="str">
        <f t="shared" si="4"/>
        <v/>
      </c>
      <c r="F32" s="34" t="str">
        <f t="shared" si="5"/>
        <v/>
      </c>
      <c r="G32" s="14"/>
      <c r="H32" s="57"/>
      <c r="I32" s="111"/>
      <c r="J32" s="111"/>
      <c r="K32" s="112" t="str">
        <f t="shared" si="6"/>
        <v/>
      </c>
      <c r="L32" s="112" t="str">
        <f t="shared" si="7"/>
        <v/>
      </c>
    </row>
    <row r="33" spans="1:12" ht="31" outlineLevel="1">
      <c r="A33" s="54"/>
      <c r="B33" s="25" t="s">
        <v>414</v>
      </c>
      <c r="C33" s="26" t="s">
        <v>26</v>
      </c>
      <c r="D33" s="27"/>
      <c r="E33" s="113" t="str">
        <f t="shared" si="4"/>
        <v/>
      </c>
      <c r="F33" s="34" t="str">
        <f t="shared" si="5"/>
        <v/>
      </c>
      <c r="G33" s="14"/>
      <c r="H33" s="57"/>
      <c r="I33" s="111"/>
      <c r="J33" s="111"/>
      <c r="K33" s="112" t="str">
        <f t="shared" si="6"/>
        <v/>
      </c>
      <c r="L33" s="112" t="str">
        <f t="shared" si="7"/>
        <v/>
      </c>
    </row>
    <row r="34" spans="1:12" outlineLevel="1">
      <c r="A34" s="54"/>
      <c r="B34" s="25" t="s">
        <v>24</v>
      </c>
      <c r="C34" s="26" t="s">
        <v>26</v>
      </c>
      <c r="D34" s="27"/>
      <c r="E34" s="113" t="str">
        <f t="shared" si="4"/>
        <v/>
      </c>
      <c r="F34" s="34" t="str">
        <f t="shared" si="5"/>
        <v/>
      </c>
      <c r="G34" s="14"/>
      <c r="H34" s="57"/>
      <c r="I34" s="111"/>
      <c r="J34" s="111"/>
      <c r="K34" s="112" t="str">
        <f t="shared" si="6"/>
        <v/>
      </c>
      <c r="L34" s="112" t="str">
        <f t="shared" si="7"/>
        <v/>
      </c>
    </row>
    <row r="35" spans="1:12" outlineLevel="1">
      <c r="A35" s="54"/>
      <c r="B35" s="25" t="s">
        <v>25</v>
      </c>
      <c r="C35" s="26" t="s">
        <v>26</v>
      </c>
      <c r="D35" s="27"/>
      <c r="E35" s="113" t="str">
        <f t="shared" si="4"/>
        <v/>
      </c>
      <c r="F35" s="34" t="str">
        <f t="shared" si="5"/>
        <v/>
      </c>
      <c r="G35" s="14"/>
      <c r="H35" s="57"/>
      <c r="I35" s="111"/>
      <c r="J35" s="111"/>
      <c r="K35" s="112" t="str">
        <f t="shared" si="6"/>
        <v/>
      </c>
      <c r="L35" s="112" t="str">
        <f t="shared" si="7"/>
        <v/>
      </c>
    </row>
    <row r="36" spans="1:12" ht="15.75" customHeight="1" outlineLevel="1">
      <c r="A36" s="54"/>
      <c r="B36" s="71"/>
      <c r="C36" s="26"/>
      <c r="D36" s="27"/>
      <c r="E36" s="113" t="str">
        <f t="shared" si="4"/>
        <v/>
      </c>
      <c r="F36" s="34" t="str">
        <f t="shared" si="5"/>
        <v/>
      </c>
      <c r="G36" s="14"/>
      <c r="H36" s="57"/>
      <c r="I36" s="111"/>
      <c r="J36" s="111"/>
      <c r="K36" s="112" t="str">
        <f t="shared" si="6"/>
        <v/>
      </c>
      <c r="L36" s="112" t="str">
        <f t="shared" si="7"/>
        <v/>
      </c>
    </row>
    <row r="37" spans="1:12">
      <c r="A37" s="54" t="s">
        <v>204</v>
      </c>
      <c r="B37" s="20" t="s">
        <v>18</v>
      </c>
      <c r="C37" s="26"/>
      <c r="D37" s="27"/>
      <c r="E37" s="113" t="str">
        <f t="shared" si="4"/>
        <v/>
      </c>
      <c r="F37" s="34" t="str">
        <f t="shared" si="5"/>
        <v/>
      </c>
      <c r="G37" s="14"/>
      <c r="H37" s="57"/>
      <c r="I37" s="111"/>
      <c r="J37" s="111"/>
      <c r="K37" s="112" t="str">
        <f t="shared" si="6"/>
        <v/>
      </c>
      <c r="L37" s="112" t="str">
        <f t="shared" si="7"/>
        <v/>
      </c>
    </row>
    <row r="38" spans="1:12" ht="15.75" customHeight="1" outlineLevel="1">
      <c r="A38" s="54"/>
      <c r="B38" s="8"/>
      <c r="C38" s="26"/>
      <c r="D38" s="27"/>
      <c r="E38" s="113" t="str">
        <f t="shared" si="4"/>
        <v/>
      </c>
      <c r="F38" s="34" t="str">
        <f t="shared" si="5"/>
        <v/>
      </c>
      <c r="G38" s="14"/>
      <c r="H38" s="57"/>
      <c r="I38" s="111"/>
      <c r="J38" s="111"/>
      <c r="K38" s="112" t="str">
        <f t="shared" si="6"/>
        <v/>
      </c>
      <c r="L38" s="112" t="str">
        <f t="shared" si="7"/>
        <v/>
      </c>
    </row>
    <row r="39" spans="1:12" ht="15.75" customHeight="1" outlineLevel="1">
      <c r="A39" s="54"/>
      <c r="B39" s="25" t="s">
        <v>22</v>
      </c>
      <c r="C39" s="26" t="s">
        <v>3</v>
      </c>
      <c r="D39" s="27"/>
      <c r="E39" s="113" t="str">
        <f t="shared" si="4"/>
        <v/>
      </c>
      <c r="F39" s="34" t="str">
        <f t="shared" si="5"/>
        <v/>
      </c>
      <c r="G39" s="14"/>
      <c r="H39" s="57"/>
      <c r="I39" s="111"/>
      <c r="J39" s="111"/>
      <c r="K39" s="112" t="str">
        <f t="shared" si="6"/>
        <v/>
      </c>
      <c r="L39" s="112" t="str">
        <f t="shared" si="7"/>
        <v/>
      </c>
    </row>
    <row r="40" spans="1:12" ht="15.75" customHeight="1" outlineLevel="1">
      <c r="A40" s="54"/>
      <c r="B40" s="25" t="s">
        <v>23</v>
      </c>
      <c r="C40" s="26" t="s">
        <v>26</v>
      </c>
      <c r="D40" s="27"/>
      <c r="E40" s="113" t="str">
        <f t="shared" si="4"/>
        <v/>
      </c>
      <c r="F40" s="34" t="str">
        <f t="shared" si="5"/>
        <v/>
      </c>
      <c r="G40" s="14"/>
      <c r="H40" s="57"/>
      <c r="I40" s="111"/>
      <c r="J40" s="111"/>
      <c r="K40" s="112" t="str">
        <f t="shared" si="6"/>
        <v/>
      </c>
      <c r="L40" s="112" t="str">
        <f t="shared" si="7"/>
        <v/>
      </c>
    </row>
    <row r="41" spans="1:12" ht="33" customHeight="1" outlineLevel="1">
      <c r="A41" s="54"/>
      <c r="B41" s="25" t="s">
        <v>414</v>
      </c>
      <c r="C41" s="26" t="s">
        <v>26</v>
      </c>
      <c r="D41" s="27"/>
      <c r="E41" s="113" t="str">
        <f t="shared" si="4"/>
        <v/>
      </c>
      <c r="F41" s="34" t="str">
        <f t="shared" si="5"/>
        <v/>
      </c>
      <c r="G41" s="14"/>
      <c r="H41" s="57"/>
      <c r="I41" s="111"/>
      <c r="J41" s="111"/>
      <c r="K41" s="112" t="str">
        <f t="shared" si="6"/>
        <v/>
      </c>
      <c r="L41" s="112" t="str">
        <f t="shared" si="7"/>
        <v/>
      </c>
    </row>
    <row r="42" spans="1:12" ht="15.75" customHeight="1" outlineLevel="1">
      <c r="A42" s="54"/>
      <c r="B42" s="25" t="s">
        <v>24</v>
      </c>
      <c r="C42" s="26" t="s">
        <v>26</v>
      </c>
      <c r="D42" s="27"/>
      <c r="E42" s="113" t="str">
        <f t="shared" si="4"/>
        <v/>
      </c>
      <c r="F42" s="34" t="str">
        <f t="shared" si="5"/>
        <v/>
      </c>
      <c r="G42" s="14"/>
      <c r="H42" s="57"/>
      <c r="I42" s="111"/>
      <c r="J42" s="111"/>
      <c r="K42" s="112" t="str">
        <f t="shared" si="6"/>
        <v/>
      </c>
      <c r="L42" s="112" t="str">
        <f t="shared" si="7"/>
        <v/>
      </c>
    </row>
    <row r="43" spans="1:12" ht="15.75" customHeight="1" outlineLevel="1">
      <c r="A43" s="54"/>
      <c r="B43" s="25" t="s">
        <v>25</v>
      </c>
      <c r="C43" s="26" t="s">
        <v>26</v>
      </c>
      <c r="D43" s="27"/>
      <c r="E43" s="113" t="str">
        <f t="shared" si="4"/>
        <v/>
      </c>
      <c r="F43" s="34" t="str">
        <f t="shared" si="5"/>
        <v/>
      </c>
      <c r="G43" s="14"/>
      <c r="H43" s="57"/>
      <c r="I43" s="111"/>
      <c r="J43" s="111"/>
      <c r="K43" s="112" t="str">
        <f t="shared" si="6"/>
        <v/>
      </c>
      <c r="L43" s="112" t="str">
        <f t="shared" si="7"/>
        <v/>
      </c>
    </row>
    <row r="44" spans="1:12" ht="15.75" customHeight="1" outlineLevel="1">
      <c r="A44" s="54"/>
      <c r="B44" s="12"/>
      <c r="C44" s="26"/>
      <c r="D44" s="27"/>
      <c r="E44" s="113" t="str">
        <f t="shared" si="4"/>
        <v/>
      </c>
      <c r="F44" s="34" t="str">
        <f t="shared" si="5"/>
        <v/>
      </c>
      <c r="G44" s="14"/>
      <c r="H44" s="57"/>
      <c r="I44" s="111"/>
      <c r="J44" s="111"/>
      <c r="K44" s="112" t="str">
        <f t="shared" si="6"/>
        <v/>
      </c>
      <c r="L44" s="112" t="str">
        <f t="shared" si="7"/>
        <v/>
      </c>
    </row>
    <row r="45" spans="1:12">
      <c r="A45" s="54" t="s">
        <v>205</v>
      </c>
      <c r="B45" s="21" t="s">
        <v>19</v>
      </c>
      <c r="C45" s="26"/>
      <c r="D45" s="27"/>
      <c r="E45" s="113" t="str">
        <f t="shared" si="4"/>
        <v/>
      </c>
      <c r="F45" s="34" t="str">
        <f t="shared" si="5"/>
        <v/>
      </c>
      <c r="G45" s="14"/>
      <c r="H45" s="57"/>
      <c r="I45" s="111"/>
      <c r="J45" s="111"/>
      <c r="K45" s="112" t="str">
        <f t="shared" si="6"/>
        <v/>
      </c>
      <c r="L45" s="112" t="str">
        <f t="shared" si="7"/>
        <v/>
      </c>
    </row>
    <row r="46" spans="1:12" ht="15.75" customHeight="1" outlineLevel="1">
      <c r="A46" s="54"/>
      <c r="B46" s="22"/>
      <c r="C46" s="26"/>
      <c r="D46" s="27"/>
      <c r="E46" s="113" t="str">
        <f t="shared" si="4"/>
        <v/>
      </c>
      <c r="F46" s="34" t="str">
        <f t="shared" si="5"/>
        <v/>
      </c>
      <c r="G46" s="14"/>
      <c r="H46" s="57"/>
      <c r="I46" s="111"/>
      <c r="J46" s="111"/>
      <c r="K46" s="112" t="str">
        <f t="shared" si="6"/>
        <v/>
      </c>
      <c r="L46" s="112" t="str">
        <f t="shared" si="7"/>
        <v/>
      </c>
    </row>
    <row r="47" spans="1:12" ht="15.75" customHeight="1" outlineLevel="1">
      <c r="A47" s="54"/>
      <c r="B47" s="25" t="s">
        <v>22</v>
      </c>
      <c r="C47" s="26" t="s">
        <v>3</v>
      </c>
      <c r="D47" s="27"/>
      <c r="E47" s="113" t="str">
        <f t="shared" si="4"/>
        <v/>
      </c>
      <c r="F47" s="34" t="str">
        <f t="shared" si="5"/>
        <v/>
      </c>
      <c r="G47" s="14"/>
      <c r="H47" s="57"/>
      <c r="I47" s="111"/>
      <c r="J47" s="111"/>
      <c r="K47" s="112" t="str">
        <f t="shared" si="6"/>
        <v/>
      </c>
      <c r="L47" s="112" t="str">
        <f t="shared" si="7"/>
        <v/>
      </c>
    </row>
    <row r="48" spans="1:12" ht="15.75" customHeight="1" outlineLevel="1">
      <c r="A48" s="54"/>
      <c r="B48" s="25" t="s">
        <v>23</v>
      </c>
      <c r="C48" s="26" t="s">
        <v>26</v>
      </c>
      <c r="D48" s="27"/>
      <c r="E48" s="113" t="str">
        <f t="shared" si="4"/>
        <v/>
      </c>
      <c r="F48" s="34" t="str">
        <f t="shared" si="5"/>
        <v/>
      </c>
      <c r="G48" s="14"/>
      <c r="H48" s="57"/>
      <c r="I48" s="111"/>
      <c r="J48" s="111"/>
      <c r="K48" s="112" t="str">
        <f t="shared" si="6"/>
        <v/>
      </c>
      <c r="L48" s="112" t="str">
        <f t="shared" si="7"/>
        <v/>
      </c>
    </row>
    <row r="49" spans="1:12" ht="33" customHeight="1" outlineLevel="1">
      <c r="A49" s="54"/>
      <c r="B49" s="25" t="s">
        <v>414</v>
      </c>
      <c r="C49" s="26" t="s">
        <v>26</v>
      </c>
      <c r="D49" s="27"/>
      <c r="E49" s="113" t="str">
        <f t="shared" si="4"/>
        <v/>
      </c>
      <c r="F49" s="34" t="str">
        <f t="shared" si="5"/>
        <v/>
      </c>
      <c r="G49" s="14"/>
      <c r="H49" s="57"/>
      <c r="I49" s="111"/>
      <c r="J49" s="111"/>
      <c r="K49" s="112" t="str">
        <f t="shared" si="6"/>
        <v/>
      </c>
      <c r="L49" s="112" t="str">
        <f t="shared" si="7"/>
        <v/>
      </c>
    </row>
    <row r="50" spans="1:12" ht="15.75" customHeight="1" outlineLevel="1">
      <c r="A50" s="54"/>
      <c r="B50" s="25" t="s">
        <v>24</v>
      </c>
      <c r="C50" s="26" t="s">
        <v>26</v>
      </c>
      <c r="D50" s="27"/>
      <c r="E50" s="113" t="str">
        <f t="shared" si="4"/>
        <v/>
      </c>
      <c r="F50" s="34" t="str">
        <f t="shared" si="5"/>
        <v/>
      </c>
      <c r="G50" s="14"/>
      <c r="H50" s="57"/>
      <c r="I50" s="111"/>
      <c r="J50" s="111"/>
      <c r="K50" s="112" t="str">
        <f t="shared" si="6"/>
        <v/>
      </c>
      <c r="L50" s="112" t="str">
        <f t="shared" si="7"/>
        <v/>
      </c>
    </row>
    <row r="51" spans="1:12" ht="15.75" customHeight="1" outlineLevel="1">
      <c r="A51" s="54"/>
      <c r="B51" s="25" t="s">
        <v>25</v>
      </c>
      <c r="C51" s="26" t="s">
        <v>26</v>
      </c>
      <c r="D51" s="27"/>
      <c r="E51" s="113" t="str">
        <f t="shared" si="4"/>
        <v/>
      </c>
      <c r="F51" s="34" t="str">
        <f t="shared" si="5"/>
        <v/>
      </c>
      <c r="G51" s="14"/>
      <c r="H51" s="57"/>
      <c r="I51" s="111"/>
      <c r="J51" s="111"/>
      <c r="K51" s="112" t="str">
        <f t="shared" si="6"/>
        <v/>
      </c>
      <c r="L51" s="112" t="str">
        <f t="shared" si="7"/>
        <v/>
      </c>
    </row>
    <row r="52" spans="1:12" ht="15.75" customHeight="1" outlineLevel="1">
      <c r="A52" s="54"/>
      <c r="B52" s="22"/>
      <c r="C52" s="26"/>
      <c r="D52" s="27"/>
      <c r="E52" s="113" t="str">
        <f t="shared" si="4"/>
        <v/>
      </c>
      <c r="F52" s="34" t="str">
        <f t="shared" si="5"/>
        <v/>
      </c>
      <c r="G52" s="14"/>
      <c r="H52" s="57"/>
      <c r="I52" s="111"/>
      <c r="J52" s="111"/>
      <c r="K52" s="112" t="str">
        <f t="shared" si="6"/>
        <v/>
      </c>
      <c r="L52" s="112" t="str">
        <f t="shared" si="7"/>
        <v/>
      </c>
    </row>
    <row r="53" spans="1:12">
      <c r="A53" s="54" t="s">
        <v>206</v>
      </c>
      <c r="B53" s="72" t="s">
        <v>20</v>
      </c>
      <c r="C53" s="26"/>
      <c r="D53" s="27"/>
      <c r="E53" s="113" t="str">
        <f t="shared" si="4"/>
        <v/>
      </c>
      <c r="F53" s="34" t="str">
        <f t="shared" si="5"/>
        <v/>
      </c>
      <c r="G53" s="14"/>
      <c r="H53" s="57"/>
      <c r="I53" s="111"/>
      <c r="J53" s="111"/>
      <c r="K53" s="112" t="str">
        <f t="shared" si="6"/>
        <v/>
      </c>
      <c r="L53" s="112" t="str">
        <f t="shared" si="7"/>
        <v/>
      </c>
    </row>
    <row r="54" spans="1:12" ht="15.75" customHeight="1" outlineLevel="1">
      <c r="A54" s="54"/>
      <c r="B54" s="73"/>
      <c r="C54" s="26"/>
      <c r="D54" s="27"/>
      <c r="E54" s="113" t="str">
        <f t="shared" si="4"/>
        <v/>
      </c>
      <c r="F54" s="34" t="str">
        <f t="shared" si="5"/>
        <v/>
      </c>
      <c r="G54" s="14"/>
      <c r="H54" s="57"/>
      <c r="I54" s="111"/>
      <c r="J54" s="111"/>
      <c r="K54" s="112" t="str">
        <f t="shared" si="6"/>
        <v/>
      </c>
      <c r="L54" s="112" t="str">
        <f t="shared" si="7"/>
        <v/>
      </c>
    </row>
    <row r="55" spans="1:12" ht="15.75" customHeight="1" outlineLevel="1">
      <c r="A55" s="54"/>
      <c r="B55" s="25" t="s">
        <v>22</v>
      </c>
      <c r="C55" s="26" t="s">
        <v>3</v>
      </c>
      <c r="D55" s="27"/>
      <c r="E55" s="113" t="str">
        <f t="shared" si="4"/>
        <v/>
      </c>
      <c r="F55" s="34" t="str">
        <f t="shared" si="5"/>
        <v/>
      </c>
      <c r="G55" s="14"/>
      <c r="H55" s="57"/>
      <c r="I55" s="111"/>
      <c r="J55" s="111"/>
      <c r="K55" s="112" t="str">
        <f t="shared" si="6"/>
        <v/>
      </c>
      <c r="L55" s="112" t="str">
        <f t="shared" si="7"/>
        <v/>
      </c>
    </row>
    <row r="56" spans="1:12" ht="15.75" customHeight="1" outlineLevel="1">
      <c r="A56" s="54"/>
      <c r="B56" s="25" t="s">
        <v>23</v>
      </c>
      <c r="C56" s="26" t="s">
        <v>26</v>
      </c>
      <c r="D56" s="27"/>
      <c r="E56" s="113" t="str">
        <f t="shared" si="4"/>
        <v/>
      </c>
      <c r="F56" s="34" t="str">
        <f t="shared" si="5"/>
        <v/>
      </c>
      <c r="G56" s="14"/>
      <c r="H56" s="57"/>
      <c r="I56" s="111"/>
      <c r="J56" s="111"/>
      <c r="K56" s="112" t="str">
        <f t="shared" si="6"/>
        <v/>
      </c>
      <c r="L56" s="112" t="str">
        <f t="shared" si="7"/>
        <v/>
      </c>
    </row>
    <row r="57" spans="1:12" ht="33" customHeight="1" outlineLevel="1">
      <c r="A57" s="54"/>
      <c r="B57" s="25" t="s">
        <v>414</v>
      </c>
      <c r="C57" s="26" t="s">
        <v>26</v>
      </c>
      <c r="D57" s="27"/>
      <c r="E57" s="113" t="str">
        <f t="shared" si="4"/>
        <v/>
      </c>
      <c r="F57" s="34" t="str">
        <f t="shared" si="5"/>
        <v/>
      </c>
      <c r="G57" s="14"/>
      <c r="H57" s="57"/>
      <c r="I57" s="111"/>
      <c r="J57" s="111"/>
      <c r="K57" s="112" t="str">
        <f t="shared" si="6"/>
        <v/>
      </c>
      <c r="L57" s="112" t="str">
        <f t="shared" si="7"/>
        <v/>
      </c>
    </row>
    <row r="58" spans="1:12" ht="15.75" customHeight="1" outlineLevel="1">
      <c r="A58" s="54"/>
      <c r="B58" s="25" t="s">
        <v>24</v>
      </c>
      <c r="C58" s="26" t="s">
        <v>26</v>
      </c>
      <c r="D58" s="27"/>
      <c r="E58" s="113" t="str">
        <f t="shared" si="4"/>
        <v/>
      </c>
      <c r="F58" s="34" t="str">
        <f t="shared" si="5"/>
        <v/>
      </c>
      <c r="G58" s="14"/>
      <c r="H58" s="57"/>
      <c r="I58" s="111"/>
      <c r="J58" s="111"/>
      <c r="K58" s="112" t="str">
        <f t="shared" si="6"/>
        <v/>
      </c>
      <c r="L58" s="112" t="str">
        <f t="shared" si="7"/>
        <v/>
      </c>
    </row>
    <row r="59" spans="1:12" ht="15.75" customHeight="1" outlineLevel="1">
      <c r="A59" s="54"/>
      <c r="B59" s="25" t="s">
        <v>25</v>
      </c>
      <c r="C59" s="26" t="s">
        <v>26</v>
      </c>
      <c r="D59" s="27"/>
      <c r="E59" s="113" t="str">
        <f t="shared" si="4"/>
        <v/>
      </c>
      <c r="F59" s="34" t="str">
        <f t="shared" si="5"/>
        <v/>
      </c>
      <c r="G59" s="14"/>
      <c r="H59" s="57"/>
      <c r="I59" s="111"/>
      <c r="J59" s="111"/>
      <c r="K59" s="112" t="str">
        <f t="shared" si="6"/>
        <v/>
      </c>
      <c r="L59" s="112" t="str">
        <f t="shared" si="7"/>
        <v/>
      </c>
    </row>
    <row r="60" spans="1:12" ht="15.75" customHeight="1" outlineLevel="1">
      <c r="A60" s="19"/>
      <c r="B60" s="74"/>
      <c r="C60" s="26"/>
      <c r="D60" s="27"/>
      <c r="E60" s="113" t="str">
        <f t="shared" si="4"/>
        <v/>
      </c>
      <c r="F60" s="34" t="str">
        <f t="shared" si="5"/>
        <v/>
      </c>
      <c r="G60" s="14"/>
      <c r="H60" s="57"/>
      <c r="I60" s="111"/>
      <c r="J60" s="111"/>
      <c r="K60" s="112" t="str">
        <f t="shared" si="6"/>
        <v/>
      </c>
      <c r="L60" s="112" t="str">
        <f t="shared" si="7"/>
        <v/>
      </c>
    </row>
    <row r="61" spans="1:12">
      <c r="A61" s="54" t="s">
        <v>207</v>
      </c>
      <c r="B61" s="21" t="s">
        <v>21</v>
      </c>
      <c r="C61" s="26"/>
      <c r="D61" s="27"/>
      <c r="E61" s="113" t="str">
        <f t="shared" si="4"/>
        <v/>
      </c>
      <c r="F61" s="34" t="str">
        <f t="shared" si="5"/>
        <v/>
      </c>
      <c r="G61" s="14"/>
      <c r="H61" s="57"/>
      <c r="I61" s="111"/>
      <c r="J61" s="111"/>
      <c r="K61" s="112" t="str">
        <f t="shared" si="6"/>
        <v/>
      </c>
      <c r="L61" s="112" t="str">
        <f t="shared" si="7"/>
        <v/>
      </c>
    </row>
    <row r="62" spans="1:12" outlineLevel="1">
      <c r="A62" s="54"/>
      <c r="B62" s="22"/>
      <c r="C62" s="26"/>
      <c r="D62" s="27"/>
      <c r="E62" s="113" t="str">
        <f t="shared" si="4"/>
        <v/>
      </c>
      <c r="F62" s="34" t="str">
        <f t="shared" si="5"/>
        <v/>
      </c>
      <c r="G62" s="14"/>
      <c r="H62" s="57"/>
      <c r="I62" s="111"/>
      <c r="J62" s="111"/>
      <c r="K62" s="112" t="str">
        <f t="shared" si="6"/>
        <v/>
      </c>
      <c r="L62" s="112" t="str">
        <f t="shared" si="7"/>
        <v/>
      </c>
    </row>
    <row r="63" spans="1:12" ht="15.75" customHeight="1" outlineLevel="1">
      <c r="A63" s="54"/>
      <c r="B63" s="25" t="s">
        <v>22</v>
      </c>
      <c r="C63" s="26" t="s">
        <v>3</v>
      </c>
      <c r="D63" s="27"/>
      <c r="E63" s="113" t="str">
        <f t="shared" si="4"/>
        <v/>
      </c>
      <c r="F63" s="34" t="str">
        <f t="shared" si="5"/>
        <v/>
      </c>
      <c r="G63" s="14"/>
      <c r="H63" s="57"/>
      <c r="I63" s="111"/>
      <c r="J63" s="111"/>
      <c r="K63" s="112" t="str">
        <f t="shared" si="6"/>
        <v/>
      </c>
      <c r="L63" s="112" t="str">
        <f t="shared" si="7"/>
        <v/>
      </c>
    </row>
    <row r="64" spans="1:12" ht="15.75" customHeight="1" outlineLevel="1">
      <c r="A64" s="54"/>
      <c r="B64" s="25" t="s">
        <v>23</v>
      </c>
      <c r="C64" s="26" t="s">
        <v>26</v>
      </c>
      <c r="D64" s="27"/>
      <c r="E64" s="113" t="str">
        <f t="shared" si="4"/>
        <v/>
      </c>
      <c r="F64" s="34" t="str">
        <f t="shared" si="5"/>
        <v/>
      </c>
      <c r="G64" s="14"/>
      <c r="H64" s="57"/>
      <c r="I64" s="111"/>
      <c r="J64" s="111"/>
      <c r="K64" s="112" t="str">
        <f t="shared" si="6"/>
        <v/>
      </c>
      <c r="L64" s="112" t="str">
        <f t="shared" si="7"/>
        <v/>
      </c>
    </row>
    <row r="65" spans="1:12" ht="33" customHeight="1" outlineLevel="1">
      <c r="A65" s="54"/>
      <c r="B65" s="25" t="s">
        <v>414</v>
      </c>
      <c r="C65" s="26" t="s">
        <v>26</v>
      </c>
      <c r="D65" s="27"/>
      <c r="E65" s="113" t="str">
        <f t="shared" si="4"/>
        <v/>
      </c>
      <c r="F65" s="34" t="str">
        <f t="shared" si="5"/>
        <v/>
      </c>
      <c r="G65" s="14"/>
      <c r="H65" s="57"/>
      <c r="I65" s="111"/>
      <c r="J65" s="111"/>
      <c r="K65" s="112" t="str">
        <f t="shared" si="6"/>
        <v/>
      </c>
      <c r="L65" s="112" t="str">
        <f t="shared" si="7"/>
        <v/>
      </c>
    </row>
    <row r="66" spans="1:12" ht="15.75" customHeight="1" outlineLevel="1">
      <c r="A66" s="54"/>
      <c r="B66" s="25" t="s">
        <v>24</v>
      </c>
      <c r="C66" s="26" t="s">
        <v>26</v>
      </c>
      <c r="D66" s="27"/>
      <c r="E66" s="113" t="str">
        <f t="shared" si="4"/>
        <v/>
      </c>
      <c r="F66" s="34" t="str">
        <f t="shared" si="5"/>
        <v/>
      </c>
      <c r="G66" s="14"/>
      <c r="H66" s="57"/>
      <c r="I66" s="111"/>
      <c r="J66" s="111"/>
      <c r="K66" s="112" t="str">
        <f t="shared" si="6"/>
        <v/>
      </c>
      <c r="L66" s="112" t="str">
        <f t="shared" si="7"/>
        <v/>
      </c>
    </row>
    <row r="67" spans="1:12" ht="15.75" customHeight="1" outlineLevel="1">
      <c r="A67" s="54"/>
      <c r="B67" s="25" t="s">
        <v>25</v>
      </c>
      <c r="C67" s="26" t="s">
        <v>26</v>
      </c>
      <c r="D67" s="27"/>
      <c r="E67" s="113" t="str">
        <f t="shared" si="4"/>
        <v/>
      </c>
      <c r="F67" s="34" t="str">
        <f t="shared" si="5"/>
        <v/>
      </c>
      <c r="G67" s="14"/>
      <c r="H67" s="57"/>
      <c r="I67" s="111"/>
      <c r="J67" s="111"/>
      <c r="K67" s="112" t="str">
        <f t="shared" si="6"/>
        <v/>
      </c>
      <c r="L67" s="112" t="str">
        <f t="shared" si="7"/>
        <v/>
      </c>
    </row>
    <row r="68" spans="1:12" ht="15.75" customHeight="1" outlineLevel="1">
      <c r="A68" s="54"/>
      <c r="B68" s="8"/>
      <c r="C68" s="26"/>
      <c r="D68" s="27"/>
      <c r="E68" s="113" t="str">
        <f t="shared" si="4"/>
        <v/>
      </c>
      <c r="F68" s="34" t="str">
        <f t="shared" si="5"/>
        <v/>
      </c>
      <c r="G68" s="14"/>
      <c r="H68" s="57"/>
      <c r="I68" s="111"/>
      <c r="J68" s="111"/>
      <c r="K68" s="112" t="str">
        <f t="shared" si="6"/>
        <v/>
      </c>
      <c r="L68" s="112" t="str">
        <f t="shared" si="7"/>
        <v/>
      </c>
    </row>
    <row r="69" spans="1:12" ht="31" outlineLevel="1">
      <c r="A69" s="54"/>
      <c r="B69" s="8" t="s">
        <v>415</v>
      </c>
      <c r="C69" s="26" t="s">
        <v>26</v>
      </c>
      <c r="D69" s="27"/>
      <c r="E69" s="113" t="str">
        <f t="shared" si="4"/>
        <v/>
      </c>
      <c r="F69" s="34" t="str">
        <f t="shared" si="5"/>
        <v/>
      </c>
      <c r="G69" s="14"/>
      <c r="H69" s="57"/>
      <c r="I69" s="111"/>
      <c r="J69" s="111"/>
      <c r="K69" s="112" t="str">
        <f t="shared" si="6"/>
        <v/>
      </c>
      <c r="L69" s="112" t="str">
        <f t="shared" si="7"/>
        <v/>
      </c>
    </row>
    <row r="70" spans="1:12" ht="15.75" customHeight="1" outlineLevel="1">
      <c r="A70" s="54"/>
      <c r="B70" s="8"/>
      <c r="C70" s="26"/>
      <c r="D70" s="27"/>
      <c r="E70" s="113" t="str">
        <f t="shared" si="4"/>
        <v/>
      </c>
      <c r="F70" s="34" t="str">
        <f t="shared" si="5"/>
        <v/>
      </c>
      <c r="G70" s="14"/>
      <c r="H70" s="57"/>
      <c r="I70" s="111"/>
      <c r="J70" s="111"/>
      <c r="K70" s="112" t="str">
        <f t="shared" si="6"/>
        <v/>
      </c>
      <c r="L70" s="112" t="str">
        <f t="shared" si="7"/>
        <v/>
      </c>
    </row>
    <row r="71" spans="1:12" ht="16" thickBot="1">
      <c r="A71" s="54"/>
      <c r="B71" s="75"/>
      <c r="C71" s="26"/>
      <c r="D71" s="27"/>
      <c r="E71" s="9"/>
      <c r="F71" s="15"/>
      <c r="G71" s="14"/>
      <c r="H71" s="57"/>
      <c r="I71" s="111"/>
      <c r="J71" s="111"/>
      <c r="K71" s="112"/>
      <c r="L71" s="112"/>
    </row>
    <row r="72" spans="1:12" ht="47" thickBot="1">
      <c r="A72" s="58">
        <v>3</v>
      </c>
      <c r="B72" s="59" t="s">
        <v>400</v>
      </c>
      <c r="C72" s="68"/>
      <c r="D72" s="69"/>
      <c r="E72" s="62"/>
      <c r="F72" s="62"/>
      <c r="G72" s="63"/>
      <c r="H72" s="64"/>
      <c r="I72" s="111"/>
      <c r="J72" s="111"/>
      <c r="K72" s="112"/>
      <c r="L72" s="112"/>
    </row>
    <row r="73" spans="1:12">
      <c r="A73" s="54"/>
      <c r="B73" s="71"/>
      <c r="C73" s="26"/>
      <c r="D73" s="27"/>
      <c r="E73" s="9"/>
      <c r="F73" s="34"/>
      <c r="G73" s="14"/>
      <c r="H73" s="57"/>
      <c r="I73" s="111"/>
      <c r="J73" s="111"/>
      <c r="K73" s="112"/>
      <c r="L73" s="112"/>
    </row>
    <row r="74" spans="1:12">
      <c r="A74" s="54" t="s">
        <v>208</v>
      </c>
      <c r="B74" s="21" t="s">
        <v>29</v>
      </c>
      <c r="C74" s="26"/>
      <c r="D74" s="27"/>
      <c r="E74" s="113" t="str">
        <f t="shared" ref="E74:E137" si="8">IF(D74="","",(((K74*$L$2)+(L74*$J$2*$J$3))*$L$3)/D74)</f>
        <v/>
      </c>
      <c r="F74" s="34" t="str">
        <f t="shared" ref="F74:F137" si="9">IF(D74="","",D74*E74)</f>
        <v/>
      </c>
      <c r="G74" s="14"/>
      <c r="H74" s="57"/>
      <c r="I74" s="111"/>
      <c r="J74" s="111"/>
      <c r="K74" s="112" t="str">
        <f t="shared" ref="K74:K137" si="10">IF(D74="","",I74*D74)</f>
        <v/>
      </c>
      <c r="L74" s="112" t="str">
        <f t="shared" ref="L74:L137" si="11">IF(D74="","",D74*J74)</f>
        <v/>
      </c>
    </row>
    <row r="75" spans="1:12" outlineLevel="1">
      <c r="A75" s="54"/>
      <c r="B75" s="22"/>
      <c r="C75" s="26"/>
      <c r="D75" s="27"/>
      <c r="E75" s="113" t="str">
        <f t="shared" si="8"/>
        <v/>
      </c>
      <c r="F75" s="34" t="str">
        <f t="shared" si="9"/>
        <v/>
      </c>
      <c r="G75" s="14"/>
      <c r="H75" s="57"/>
      <c r="I75" s="111"/>
      <c r="J75" s="111"/>
      <c r="K75" s="112" t="str">
        <f t="shared" si="10"/>
        <v/>
      </c>
      <c r="L75" s="112" t="str">
        <f t="shared" si="11"/>
        <v/>
      </c>
    </row>
    <row r="76" spans="1:12" outlineLevel="1">
      <c r="A76" s="54"/>
      <c r="B76" s="22" t="s">
        <v>30</v>
      </c>
      <c r="C76" s="46" t="s">
        <v>5</v>
      </c>
      <c r="D76" s="27"/>
      <c r="E76" s="113" t="str">
        <f t="shared" si="8"/>
        <v/>
      </c>
      <c r="F76" s="34" t="str">
        <f t="shared" si="9"/>
        <v/>
      </c>
      <c r="G76" s="14"/>
      <c r="H76" s="57"/>
      <c r="I76" s="111"/>
      <c r="J76" s="111"/>
      <c r="K76" s="112" t="str">
        <f t="shared" si="10"/>
        <v/>
      </c>
      <c r="L76" s="112" t="str">
        <f t="shared" si="11"/>
        <v/>
      </c>
    </row>
    <row r="77" spans="1:12" outlineLevel="1">
      <c r="A77" s="54"/>
      <c r="B77" s="22" t="s">
        <v>31</v>
      </c>
      <c r="C77" s="46" t="s">
        <v>5</v>
      </c>
      <c r="D77" s="27"/>
      <c r="E77" s="113" t="str">
        <f t="shared" si="8"/>
        <v/>
      </c>
      <c r="F77" s="34" t="str">
        <f t="shared" si="9"/>
        <v/>
      </c>
      <c r="G77" s="14"/>
      <c r="H77" s="57"/>
      <c r="I77" s="111"/>
      <c r="J77" s="111"/>
      <c r="K77" s="112" t="str">
        <f t="shared" si="10"/>
        <v/>
      </c>
      <c r="L77" s="112" t="str">
        <f t="shared" si="11"/>
        <v/>
      </c>
    </row>
    <row r="78" spans="1:12" outlineLevel="1">
      <c r="A78" s="54"/>
      <c r="B78" s="22" t="s">
        <v>32</v>
      </c>
      <c r="C78" s="46" t="s">
        <v>5</v>
      </c>
      <c r="D78" s="27"/>
      <c r="E78" s="113" t="str">
        <f t="shared" si="8"/>
        <v/>
      </c>
      <c r="F78" s="34" t="str">
        <f t="shared" si="9"/>
        <v/>
      </c>
      <c r="G78" s="14"/>
      <c r="H78" s="57"/>
      <c r="I78" s="111"/>
      <c r="J78" s="111"/>
      <c r="K78" s="112" t="str">
        <f t="shared" si="10"/>
        <v/>
      </c>
      <c r="L78" s="112" t="str">
        <f t="shared" si="11"/>
        <v/>
      </c>
    </row>
    <row r="79" spans="1:12" outlineLevel="1">
      <c r="A79" s="54"/>
      <c r="B79" s="22" t="s">
        <v>33</v>
      </c>
      <c r="C79" s="46" t="s">
        <v>5</v>
      </c>
      <c r="D79" s="27"/>
      <c r="E79" s="113" t="str">
        <f t="shared" si="8"/>
        <v/>
      </c>
      <c r="F79" s="34" t="str">
        <f t="shared" si="9"/>
        <v/>
      </c>
      <c r="G79" s="14"/>
      <c r="H79" s="57"/>
      <c r="I79" s="111"/>
      <c r="J79" s="111"/>
      <c r="K79" s="112" t="str">
        <f t="shared" si="10"/>
        <v/>
      </c>
      <c r="L79" s="112" t="str">
        <f t="shared" si="11"/>
        <v/>
      </c>
    </row>
    <row r="80" spans="1:12" outlineLevel="1">
      <c r="A80" s="54"/>
      <c r="B80" s="22" t="s">
        <v>34</v>
      </c>
      <c r="C80" s="46" t="s">
        <v>5</v>
      </c>
      <c r="D80" s="27"/>
      <c r="E80" s="113" t="str">
        <f t="shared" si="8"/>
        <v/>
      </c>
      <c r="F80" s="34" t="str">
        <f t="shared" si="9"/>
        <v/>
      </c>
      <c r="G80" s="14"/>
      <c r="H80" s="57"/>
      <c r="I80" s="111"/>
      <c r="J80" s="111"/>
      <c r="K80" s="112" t="str">
        <f t="shared" si="10"/>
        <v/>
      </c>
      <c r="L80" s="112" t="str">
        <f t="shared" si="11"/>
        <v/>
      </c>
    </row>
    <row r="81" spans="1:12" outlineLevel="1">
      <c r="A81" s="54"/>
      <c r="B81" s="22" t="s">
        <v>182</v>
      </c>
      <c r="C81" s="46" t="s">
        <v>5</v>
      </c>
      <c r="D81" s="27"/>
      <c r="E81" s="113" t="str">
        <f t="shared" si="8"/>
        <v/>
      </c>
      <c r="F81" s="34" t="str">
        <f t="shared" si="9"/>
        <v/>
      </c>
      <c r="G81" s="14"/>
      <c r="H81" s="57"/>
      <c r="I81" s="111"/>
      <c r="J81" s="111"/>
      <c r="K81" s="112" t="str">
        <f t="shared" si="10"/>
        <v/>
      </c>
      <c r="L81" s="112" t="str">
        <f t="shared" si="11"/>
        <v/>
      </c>
    </row>
    <row r="82" spans="1:12" outlineLevel="1">
      <c r="A82" s="54"/>
      <c r="B82" s="22" t="s">
        <v>183</v>
      </c>
      <c r="C82" s="46" t="s">
        <v>5</v>
      </c>
      <c r="D82" s="27"/>
      <c r="E82" s="113" t="str">
        <f t="shared" si="8"/>
        <v/>
      </c>
      <c r="F82" s="34" t="str">
        <f t="shared" si="9"/>
        <v/>
      </c>
      <c r="G82" s="14"/>
      <c r="H82" s="57"/>
      <c r="I82" s="111"/>
      <c r="J82" s="111"/>
      <c r="K82" s="112" t="str">
        <f t="shared" si="10"/>
        <v/>
      </c>
      <c r="L82" s="112" t="str">
        <f t="shared" si="11"/>
        <v/>
      </c>
    </row>
    <row r="83" spans="1:12" outlineLevel="1">
      <c r="A83" s="54"/>
      <c r="B83" s="22" t="s">
        <v>184</v>
      </c>
      <c r="C83" s="46" t="s">
        <v>5</v>
      </c>
      <c r="D83" s="27"/>
      <c r="E83" s="113" t="str">
        <f t="shared" si="8"/>
        <v/>
      </c>
      <c r="F83" s="34" t="str">
        <f t="shared" si="9"/>
        <v/>
      </c>
      <c r="G83" s="14"/>
      <c r="H83" s="57"/>
      <c r="I83" s="111"/>
      <c r="J83" s="111"/>
      <c r="K83" s="112" t="str">
        <f t="shared" si="10"/>
        <v/>
      </c>
      <c r="L83" s="112" t="str">
        <f t="shared" si="11"/>
        <v/>
      </c>
    </row>
    <row r="84" spans="1:12" outlineLevel="1">
      <c r="A84" s="54"/>
      <c r="B84" s="22" t="s">
        <v>185</v>
      </c>
      <c r="C84" s="46" t="s">
        <v>5</v>
      </c>
      <c r="D84" s="27"/>
      <c r="E84" s="113" t="str">
        <f t="shared" si="8"/>
        <v/>
      </c>
      <c r="F84" s="34" t="str">
        <f t="shared" si="9"/>
        <v/>
      </c>
      <c r="G84" s="14"/>
      <c r="H84" s="57"/>
      <c r="I84" s="111"/>
      <c r="J84" s="111"/>
      <c r="K84" s="112" t="str">
        <f t="shared" si="10"/>
        <v/>
      </c>
      <c r="L84" s="112" t="str">
        <f t="shared" si="11"/>
        <v/>
      </c>
    </row>
    <row r="85" spans="1:12" outlineLevel="1">
      <c r="A85" s="54"/>
      <c r="B85" s="22" t="s">
        <v>186</v>
      </c>
      <c r="C85" s="46" t="s">
        <v>5</v>
      </c>
      <c r="D85" s="27"/>
      <c r="E85" s="113" t="str">
        <f t="shared" si="8"/>
        <v/>
      </c>
      <c r="F85" s="34" t="str">
        <f t="shared" si="9"/>
        <v/>
      </c>
      <c r="G85" s="14"/>
      <c r="H85" s="57"/>
      <c r="I85" s="111"/>
      <c r="J85" s="111"/>
      <c r="K85" s="112" t="str">
        <f t="shared" si="10"/>
        <v/>
      </c>
      <c r="L85" s="112" t="str">
        <f t="shared" si="11"/>
        <v/>
      </c>
    </row>
    <row r="86" spans="1:12" outlineLevel="1">
      <c r="A86" s="54"/>
      <c r="B86" s="22" t="s">
        <v>187</v>
      </c>
      <c r="C86" s="46" t="s">
        <v>5</v>
      </c>
      <c r="D86" s="27"/>
      <c r="E86" s="113" t="str">
        <f t="shared" si="8"/>
        <v/>
      </c>
      <c r="F86" s="34" t="str">
        <f t="shared" si="9"/>
        <v/>
      </c>
      <c r="G86" s="14"/>
      <c r="H86" s="57"/>
      <c r="I86" s="111"/>
      <c r="J86" s="111"/>
      <c r="K86" s="112" t="str">
        <f t="shared" si="10"/>
        <v/>
      </c>
      <c r="L86" s="112" t="str">
        <f t="shared" si="11"/>
        <v/>
      </c>
    </row>
    <row r="87" spans="1:12" outlineLevel="1">
      <c r="A87" s="54"/>
      <c r="B87" s="22" t="s">
        <v>35</v>
      </c>
      <c r="C87" s="46" t="s">
        <v>5</v>
      </c>
      <c r="D87" s="27"/>
      <c r="E87" s="113" t="str">
        <f t="shared" si="8"/>
        <v/>
      </c>
      <c r="F87" s="34" t="str">
        <f t="shared" si="9"/>
        <v/>
      </c>
      <c r="G87" s="14"/>
      <c r="H87" s="57"/>
      <c r="I87" s="111"/>
      <c r="J87" s="111"/>
      <c r="K87" s="112" t="str">
        <f t="shared" si="10"/>
        <v/>
      </c>
      <c r="L87" s="112" t="str">
        <f t="shared" si="11"/>
        <v/>
      </c>
    </row>
    <row r="88" spans="1:12" outlineLevel="1">
      <c r="A88" s="54"/>
      <c r="B88" s="22" t="s">
        <v>188</v>
      </c>
      <c r="C88" s="46" t="s">
        <v>5</v>
      </c>
      <c r="D88" s="27"/>
      <c r="E88" s="113" t="str">
        <f t="shared" si="8"/>
        <v/>
      </c>
      <c r="F88" s="34" t="str">
        <f t="shared" si="9"/>
        <v/>
      </c>
      <c r="G88" s="14"/>
      <c r="H88" s="57"/>
      <c r="I88" s="111"/>
      <c r="J88" s="111"/>
      <c r="K88" s="112" t="str">
        <f t="shared" si="10"/>
        <v/>
      </c>
      <c r="L88" s="112" t="str">
        <f t="shared" si="11"/>
        <v/>
      </c>
    </row>
    <row r="89" spans="1:12" outlineLevel="1">
      <c r="A89" s="54"/>
      <c r="B89" s="22" t="s">
        <v>189</v>
      </c>
      <c r="C89" s="46" t="s">
        <v>5</v>
      </c>
      <c r="D89" s="27"/>
      <c r="E89" s="113" t="str">
        <f t="shared" si="8"/>
        <v/>
      </c>
      <c r="F89" s="34" t="str">
        <f t="shared" si="9"/>
        <v/>
      </c>
      <c r="G89" s="14"/>
      <c r="H89" s="57"/>
      <c r="I89" s="111"/>
      <c r="J89" s="111"/>
      <c r="K89" s="112" t="str">
        <f t="shared" si="10"/>
        <v/>
      </c>
      <c r="L89" s="112" t="str">
        <f t="shared" si="11"/>
        <v/>
      </c>
    </row>
    <row r="90" spans="1:12" outlineLevel="1">
      <c r="A90" s="54"/>
      <c r="B90" s="22" t="s">
        <v>36</v>
      </c>
      <c r="C90" s="46" t="s">
        <v>4</v>
      </c>
      <c r="D90" s="27"/>
      <c r="E90" s="113" t="str">
        <f t="shared" si="8"/>
        <v/>
      </c>
      <c r="F90" s="34" t="str">
        <f t="shared" si="9"/>
        <v/>
      </c>
      <c r="G90" s="14"/>
      <c r="H90" s="57"/>
      <c r="I90" s="111"/>
      <c r="J90" s="111"/>
      <c r="K90" s="112" t="str">
        <f t="shared" si="10"/>
        <v/>
      </c>
      <c r="L90" s="112" t="str">
        <f t="shared" si="11"/>
        <v/>
      </c>
    </row>
    <row r="91" spans="1:12" outlineLevel="1">
      <c r="A91" s="54"/>
      <c r="B91" s="22" t="s">
        <v>37</v>
      </c>
      <c r="C91" s="46" t="s">
        <v>4</v>
      </c>
      <c r="D91" s="27"/>
      <c r="E91" s="113" t="str">
        <f t="shared" si="8"/>
        <v/>
      </c>
      <c r="F91" s="34" t="str">
        <f t="shared" si="9"/>
        <v/>
      </c>
      <c r="G91" s="14"/>
      <c r="H91" s="57"/>
      <c r="I91" s="111"/>
      <c r="J91" s="111"/>
      <c r="K91" s="112" t="str">
        <f t="shared" si="10"/>
        <v/>
      </c>
      <c r="L91" s="112" t="str">
        <f t="shared" si="11"/>
        <v/>
      </c>
    </row>
    <row r="92" spans="1:12" outlineLevel="1">
      <c r="A92" s="54"/>
      <c r="B92" s="22" t="s">
        <v>38</v>
      </c>
      <c r="C92" s="46" t="s">
        <v>26</v>
      </c>
      <c r="D92" s="27"/>
      <c r="E92" s="113" t="str">
        <f t="shared" si="8"/>
        <v/>
      </c>
      <c r="F92" s="34" t="str">
        <f t="shared" si="9"/>
        <v/>
      </c>
      <c r="G92" s="14"/>
      <c r="H92" s="57"/>
      <c r="I92" s="111"/>
      <c r="J92" s="111"/>
      <c r="K92" s="112" t="str">
        <f t="shared" si="10"/>
        <v/>
      </c>
      <c r="L92" s="112" t="str">
        <f t="shared" si="11"/>
        <v/>
      </c>
    </row>
    <row r="93" spans="1:12" outlineLevel="1">
      <c r="A93" s="54"/>
      <c r="B93" s="6"/>
      <c r="C93" s="46"/>
      <c r="D93" s="27"/>
      <c r="E93" s="113" t="str">
        <f t="shared" si="8"/>
        <v/>
      </c>
      <c r="F93" s="34" t="str">
        <f t="shared" si="9"/>
        <v/>
      </c>
      <c r="G93" s="14"/>
      <c r="H93" s="57"/>
      <c r="I93" s="111"/>
      <c r="J93" s="111"/>
      <c r="K93" s="112" t="str">
        <f t="shared" si="10"/>
        <v/>
      </c>
      <c r="L93" s="112" t="str">
        <f t="shared" si="11"/>
        <v/>
      </c>
    </row>
    <row r="94" spans="1:12">
      <c r="A94" s="54" t="s">
        <v>331</v>
      </c>
      <c r="B94" s="21" t="s">
        <v>266</v>
      </c>
      <c r="C94" s="26"/>
      <c r="D94" s="27"/>
      <c r="E94" s="113" t="str">
        <f t="shared" si="8"/>
        <v/>
      </c>
      <c r="F94" s="34" t="str">
        <f t="shared" si="9"/>
        <v/>
      </c>
      <c r="G94" s="14"/>
      <c r="H94" s="57"/>
      <c r="I94" s="111"/>
      <c r="J94" s="111"/>
      <c r="K94" s="112" t="str">
        <f t="shared" si="10"/>
        <v/>
      </c>
      <c r="L94" s="112" t="str">
        <f t="shared" si="11"/>
        <v/>
      </c>
    </row>
    <row r="95" spans="1:12" outlineLevel="1">
      <c r="A95" s="54"/>
      <c r="B95" s="22"/>
      <c r="C95" s="26"/>
      <c r="D95" s="27"/>
      <c r="E95" s="113" t="str">
        <f t="shared" si="8"/>
        <v/>
      </c>
      <c r="F95" s="34" t="str">
        <f t="shared" si="9"/>
        <v/>
      </c>
      <c r="G95" s="14"/>
      <c r="H95" s="57"/>
      <c r="I95" s="111"/>
      <c r="J95" s="111"/>
      <c r="K95" s="112" t="str">
        <f t="shared" si="10"/>
        <v/>
      </c>
      <c r="L95" s="112" t="str">
        <f t="shared" si="11"/>
        <v/>
      </c>
    </row>
    <row r="96" spans="1:12" outlineLevel="1">
      <c r="A96" s="54"/>
      <c r="B96" s="22" t="s">
        <v>31</v>
      </c>
      <c r="C96" s="46" t="s">
        <v>5</v>
      </c>
      <c r="D96" s="27"/>
      <c r="E96" s="113" t="str">
        <f t="shared" si="8"/>
        <v/>
      </c>
      <c r="F96" s="34" t="str">
        <f t="shared" si="9"/>
        <v/>
      </c>
      <c r="G96" s="14"/>
      <c r="H96" s="57"/>
      <c r="I96" s="111"/>
      <c r="J96" s="111"/>
      <c r="K96" s="112" t="str">
        <f t="shared" si="10"/>
        <v/>
      </c>
      <c r="L96" s="112" t="str">
        <f t="shared" si="11"/>
        <v/>
      </c>
    </row>
    <row r="97" spans="1:12" outlineLevel="1">
      <c r="A97" s="54"/>
      <c r="B97" s="22" t="s">
        <v>32</v>
      </c>
      <c r="C97" s="46" t="s">
        <v>5</v>
      </c>
      <c r="D97" s="27"/>
      <c r="E97" s="113" t="str">
        <f t="shared" si="8"/>
        <v/>
      </c>
      <c r="F97" s="34" t="str">
        <f t="shared" si="9"/>
        <v/>
      </c>
      <c r="G97" s="14"/>
      <c r="H97" s="57"/>
      <c r="I97" s="111"/>
      <c r="J97" s="111"/>
      <c r="K97" s="112" t="str">
        <f t="shared" si="10"/>
        <v/>
      </c>
      <c r="L97" s="112" t="str">
        <f t="shared" si="11"/>
        <v/>
      </c>
    </row>
    <row r="98" spans="1:12" outlineLevel="1">
      <c r="A98" s="54"/>
      <c r="B98" s="22" t="s">
        <v>34</v>
      </c>
      <c r="C98" s="46" t="s">
        <v>5</v>
      </c>
      <c r="D98" s="27"/>
      <c r="E98" s="113" t="str">
        <f t="shared" si="8"/>
        <v/>
      </c>
      <c r="F98" s="34" t="str">
        <f t="shared" si="9"/>
        <v/>
      </c>
      <c r="G98" s="14"/>
      <c r="H98" s="57"/>
      <c r="I98" s="111"/>
      <c r="J98" s="111"/>
      <c r="K98" s="112" t="str">
        <f t="shared" si="10"/>
        <v/>
      </c>
      <c r="L98" s="112" t="str">
        <f t="shared" si="11"/>
        <v/>
      </c>
    </row>
    <row r="99" spans="1:12" outlineLevel="1">
      <c r="A99" s="54"/>
      <c r="B99" s="22" t="s">
        <v>182</v>
      </c>
      <c r="C99" s="46" t="s">
        <v>5</v>
      </c>
      <c r="D99" s="27"/>
      <c r="E99" s="113" t="str">
        <f t="shared" si="8"/>
        <v/>
      </c>
      <c r="F99" s="34" t="str">
        <f t="shared" si="9"/>
        <v/>
      </c>
      <c r="G99" s="14"/>
      <c r="H99" s="57"/>
      <c r="I99" s="111"/>
      <c r="J99" s="111"/>
      <c r="K99" s="112" t="str">
        <f t="shared" si="10"/>
        <v/>
      </c>
      <c r="L99" s="112" t="str">
        <f t="shared" si="11"/>
        <v/>
      </c>
    </row>
    <row r="100" spans="1:12" outlineLevel="1">
      <c r="A100" s="54"/>
      <c r="B100" s="22" t="s">
        <v>183</v>
      </c>
      <c r="C100" s="46" t="s">
        <v>5</v>
      </c>
      <c r="D100" s="27"/>
      <c r="E100" s="113" t="str">
        <f t="shared" si="8"/>
        <v/>
      </c>
      <c r="F100" s="34" t="str">
        <f t="shared" si="9"/>
        <v/>
      </c>
      <c r="G100" s="14"/>
      <c r="H100" s="57"/>
      <c r="I100" s="111"/>
      <c r="J100" s="111"/>
      <c r="K100" s="112" t="str">
        <f t="shared" si="10"/>
        <v/>
      </c>
      <c r="L100" s="112" t="str">
        <f t="shared" si="11"/>
        <v/>
      </c>
    </row>
    <row r="101" spans="1:12" outlineLevel="1">
      <c r="A101" s="54"/>
      <c r="B101" s="22" t="s">
        <v>184</v>
      </c>
      <c r="C101" s="46" t="s">
        <v>5</v>
      </c>
      <c r="D101" s="27"/>
      <c r="E101" s="113" t="str">
        <f t="shared" si="8"/>
        <v/>
      </c>
      <c r="F101" s="34" t="str">
        <f t="shared" si="9"/>
        <v/>
      </c>
      <c r="G101" s="14"/>
      <c r="H101" s="57"/>
      <c r="I101" s="111"/>
      <c r="J101" s="111"/>
      <c r="K101" s="112" t="str">
        <f t="shared" si="10"/>
        <v/>
      </c>
      <c r="L101" s="112" t="str">
        <f t="shared" si="11"/>
        <v/>
      </c>
    </row>
    <row r="102" spans="1:12" outlineLevel="1">
      <c r="A102" s="54"/>
      <c r="B102" s="22" t="s">
        <v>185</v>
      </c>
      <c r="C102" s="46" t="s">
        <v>5</v>
      </c>
      <c r="D102" s="27"/>
      <c r="E102" s="113" t="str">
        <f t="shared" si="8"/>
        <v/>
      </c>
      <c r="F102" s="34" t="str">
        <f t="shared" si="9"/>
        <v/>
      </c>
      <c r="G102" s="14"/>
      <c r="H102" s="57"/>
      <c r="I102" s="111"/>
      <c r="J102" s="111"/>
      <c r="K102" s="112" t="str">
        <f t="shared" si="10"/>
        <v/>
      </c>
      <c r="L102" s="112" t="str">
        <f t="shared" si="11"/>
        <v/>
      </c>
    </row>
    <row r="103" spans="1:12" outlineLevel="1">
      <c r="A103" s="54"/>
      <c r="B103" s="22" t="s">
        <v>186</v>
      </c>
      <c r="C103" s="46" t="s">
        <v>5</v>
      </c>
      <c r="D103" s="27"/>
      <c r="E103" s="113" t="str">
        <f t="shared" si="8"/>
        <v/>
      </c>
      <c r="F103" s="34" t="str">
        <f t="shared" si="9"/>
        <v/>
      </c>
      <c r="G103" s="14"/>
      <c r="H103" s="57"/>
      <c r="I103" s="111"/>
      <c r="J103" s="111"/>
      <c r="K103" s="112" t="str">
        <f t="shared" si="10"/>
        <v/>
      </c>
      <c r="L103" s="112" t="str">
        <f t="shared" si="11"/>
        <v/>
      </c>
    </row>
    <row r="104" spans="1:12" outlineLevel="1">
      <c r="A104" s="54"/>
      <c r="B104" s="22" t="s">
        <v>187</v>
      </c>
      <c r="C104" s="46" t="s">
        <v>5</v>
      </c>
      <c r="D104" s="27"/>
      <c r="E104" s="113" t="str">
        <f t="shared" si="8"/>
        <v/>
      </c>
      <c r="F104" s="34" t="str">
        <f t="shared" si="9"/>
        <v/>
      </c>
      <c r="G104" s="14"/>
      <c r="H104" s="57"/>
      <c r="I104" s="111"/>
      <c r="J104" s="111"/>
      <c r="K104" s="112" t="str">
        <f t="shared" si="10"/>
        <v/>
      </c>
      <c r="L104" s="112" t="str">
        <f t="shared" si="11"/>
        <v/>
      </c>
    </row>
    <row r="105" spans="1:12" outlineLevel="1">
      <c r="A105" s="54"/>
      <c r="B105" s="22" t="s">
        <v>35</v>
      </c>
      <c r="C105" s="46" t="s">
        <v>5</v>
      </c>
      <c r="D105" s="27"/>
      <c r="E105" s="113" t="str">
        <f t="shared" si="8"/>
        <v/>
      </c>
      <c r="F105" s="34" t="str">
        <f t="shared" si="9"/>
        <v/>
      </c>
      <c r="G105" s="14"/>
      <c r="H105" s="57"/>
      <c r="I105" s="111"/>
      <c r="J105" s="111"/>
      <c r="K105" s="112" t="str">
        <f t="shared" si="10"/>
        <v/>
      </c>
      <c r="L105" s="112" t="str">
        <f t="shared" si="11"/>
        <v/>
      </c>
    </row>
    <row r="106" spans="1:12" outlineLevel="1">
      <c r="A106" s="54"/>
      <c r="B106" s="22" t="s">
        <v>188</v>
      </c>
      <c r="C106" s="46" t="s">
        <v>5</v>
      </c>
      <c r="D106" s="27"/>
      <c r="E106" s="113" t="str">
        <f t="shared" si="8"/>
        <v/>
      </c>
      <c r="F106" s="34" t="str">
        <f t="shared" si="9"/>
        <v/>
      </c>
      <c r="G106" s="14"/>
      <c r="H106" s="57"/>
      <c r="I106" s="111"/>
      <c r="J106" s="111"/>
      <c r="K106" s="112" t="str">
        <f t="shared" si="10"/>
        <v/>
      </c>
      <c r="L106" s="112" t="str">
        <f t="shared" si="11"/>
        <v/>
      </c>
    </row>
    <row r="107" spans="1:12" outlineLevel="1">
      <c r="A107" s="54"/>
      <c r="B107" s="22" t="s">
        <v>189</v>
      </c>
      <c r="C107" s="46" t="s">
        <v>5</v>
      </c>
      <c r="D107" s="27"/>
      <c r="E107" s="113" t="str">
        <f t="shared" si="8"/>
        <v/>
      </c>
      <c r="F107" s="34" t="str">
        <f t="shared" si="9"/>
        <v/>
      </c>
      <c r="G107" s="14"/>
      <c r="H107" s="57"/>
      <c r="I107" s="111"/>
      <c r="J107" s="111"/>
      <c r="K107" s="112" t="str">
        <f t="shared" si="10"/>
        <v/>
      </c>
      <c r="L107" s="112" t="str">
        <f t="shared" si="11"/>
        <v/>
      </c>
    </row>
    <row r="108" spans="1:12" outlineLevel="1">
      <c r="A108" s="54"/>
      <c r="B108" s="22" t="s">
        <v>36</v>
      </c>
      <c r="C108" s="46" t="s">
        <v>4</v>
      </c>
      <c r="D108" s="27"/>
      <c r="E108" s="113" t="str">
        <f t="shared" si="8"/>
        <v/>
      </c>
      <c r="F108" s="34" t="str">
        <f t="shared" si="9"/>
        <v/>
      </c>
      <c r="G108" s="14"/>
      <c r="H108" s="57"/>
      <c r="I108" s="111"/>
      <c r="J108" s="111"/>
      <c r="K108" s="112" t="str">
        <f t="shared" si="10"/>
        <v/>
      </c>
      <c r="L108" s="112" t="str">
        <f t="shared" si="11"/>
        <v/>
      </c>
    </row>
    <row r="109" spans="1:12" outlineLevel="1">
      <c r="A109" s="54"/>
      <c r="B109" s="22" t="s">
        <v>37</v>
      </c>
      <c r="C109" s="46" t="s">
        <v>4</v>
      </c>
      <c r="D109" s="27"/>
      <c r="E109" s="113" t="str">
        <f t="shared" si="8"/>
        <v/>
      </c>
      <c r="F109" s="34" t="str">
        <f t="shared" si="9"/>
        <v/>
      </c>
      <c r="G109" s="14"/>
      <c r="H109" s="57"/>
      <c r="I109" s="111"/>
      <c r="J109" s="111"/>
      <c r="K109" s="112" t="str">
        <f t="shared" si="10"/>
        <v/>
      </c>
      <c r="L109" s="112" t="str">
        <f t="shared" si="11"/>
        <v/>
      </c>
    </row>
    <row r="110" spans="1:12" outlineLevel="1">
      <c r="A110" s="54"/>
      <c r="B110" s="22" t="s">
        <v>270</v>
      </c>
      <c r="C110" s="46" t="s">
        <v>26</v>
      </c>
      <c r="D110" s="27"/>
      <c r="E110" s="113" t="str">
        <f t="shared" si="8"/>
        <v/>
      </c>
      <c r="F110" s="34" t="str">
        <f t="shared" si="9"/>
        <v/>
      </c>
      <c r="G110" s="14"/>
      <c r="H110" s="57"/>
      <c r="I110" s="111"/>
      <c r="J110" s="111"/>
      <c r="K110" s="112" t="str">
        <f t="shared" si="10"/>
        <v/>
      </c>
      <c r="L110" s="112" t="str">
        <f t="shared" si="11"/>
        <v/>
      </c>
    </row>
    <row r="111" spans="1:12" outlineLevel="1">
      <c r="A111" s="54"/>
      <c r="B111" s="32"/>
      <c r="C111" s="46"/>
      <c r="D111" s="27"/>
      <c r="E111" s="113" t="str">
        <f t="shared" si="8"/>
        <v/>
      </c>
      <c r="F111" s="34" t="str">
        <f t="shared" si="9"/>
        <v/>
      </c>
      <c r="G111" s="14"/>
      <c r="H111" s="57"/>
      <c r="I111" s="111"/>
      <c r="J111" s="111"/>
      <c r="K111" s="112" t="str">
        <f t="shared" si="10"/>
        <v/>
      </c>
      <c r="L111" s="112" t="str">
        <f t="shared" si="11"/>
        <v/>
      </c>
    </row>
    <row r="112" spans="1:12">
      <c r="A112" s="65" t="s">
        <v>209</v>
      </c>
      <c r="B112" s="20" t="s">
        <v>84</v>
      </c>
      <c r="C112" s="26"/>
      <c r="D112" s="27"/>
      <c r="E112" s="113" t="str">
        <f t="shared" si="8"/>
        <v/>
      </c>
      <c r="F112" s="34" t="str">
        <f t="shared" si="9"/>
        <v/>
      </c>
      <c r="G112" s="14"/>
      <c r="H112" s="57"/>
      <c r="I112" s="111"/>
      <c r="J112" s="111"/>
      <c r="K112" s="112" t="str">
        <f t="shared" si="10"/>
        <v/>
      </c>
      <c r="L112" s="112" t="str">
        <f t="shared" si="11"/>
        <v/>
      </c>
    </row>
    <row r="113" spans="1:12" ht="15.75" customHeight="1" outlineLevel="1">
      <c r="A113" s="54"/>
      <c r="B113" s="13"/>
      <c r="C113" s="26"/>
      <c r="D113" s="27"/>
      <c r="E113" s="113" t="str">
        <f t="shared" si="8"/>
        <v/>
      </c>
      <c r="F113" s="34" t="str">
        <f t="shared" si="9"/>
        <v/>
      </c>
      <c r="G113" s="14"/>
      <c r="H113" s="57"/>
      <c r="I113" s="111"/>
      <c r="J113" s="111"/>
      <c r="K113" s="112" t="str">
        <f t="shared" si="10"/>
        <v/>
      </c>
      <c r="L113" s="112" t="str">
        <f t="shared" si="11"/>
        <v/>
      </c>
    </row>
    <row r="114" spans="1:12" ht="21.75" customHeight="1" outlineLevel="1">
      <c r="A114" s="54"/>
      <c r="B114" s="8" t="s">
        <v>85</v>
      </c>
      <c r="C114" s="26" t="s">
        <v>3</v>
      </c>
      <c r="D114" s="27"/>
      <c r="E114" s="113" t="str">
        <f t="shared" si="8"/>
        <v/>
      </c>
      <c r="F114" s="34" t="str">
        <f t="shared" si="9"/>
        <v/>
      </c>
      <c r="G114" s="14"/>
      <c r="H114" s="57"/>
      <c r="I114" s="111"/>
      <c r="J114" s="111"/>
      <c r="K114" s="112" t="str">
        <f t="shared" si="10"/>
        <v/>
      </c>
      <c r="L114" s="112" t="str">
        <f t="shared" si="11"/>
        <v/>
      </c>
    </row>
    <row r="115" spans="1:12" outlineLevel="1">
      <c r="A115" s="54"/>
      <c r="B115" s="8" t="s">
        <v>86</v>
      </c>
      <c r="C115" s="26" t="s">
        <v>3</v>
      </c>
      <c r="D115" s="27"/>
      <c r="E115" s="113" t="str">
        <f t="shared" si="8"/>
        <v/>
      </c>
      <c r="F115" s="34" t="str">
        <f t="shared" si="9"/>
        <v/>
      </c>
      <c r="G115" s="14"/>
      <c r="H115" s="57"/>
      <c r="I115" s="111"/>
      <c r="J115" s="111"/>
      <c r="K115" s="112" t="str">
        <f t="shared" si="10"/>
        <v/>
      </c>
      <c r="L115" s="112" t="str">
        <f t="shared" si="11"/>
        <v/>
      </c>
    </row>
    <row r="116" spans="1:12" outlineLevel="1">
      <c r="A116" s="54"/>
      <c r="B116" s="8" t="s">
        <v>87</v>
      </c>
      <c r="C116" s="26" t="s">
        <v>3</v>
      </c>
      <c r="D116" s="27"/>
      <c r="E116" s="113" t="str">
        <f t="shared" si="8"/>
        <v/>
      </c>
      <c r="F116" s="34" t="str">
        <f t="shared" si="9"/>
        <v/>
      </c>
      <c r="G116" s="14"/>
      <c r="H116" s="57"/>
      <c r="I116" s="111"/>
      <c r="J116" s="111"/>
      <c r="K116" s="112" t="str">
        <f t="shared" si="10"/>
        <v/>
      </c>
      <c r="L116" s="112" t="str">
        <f t="shared" si="11"/>
        <v/>
      </c>
    </row>
    <row r="117" spans="1:12" outlineLevel="1">
      <c r="A117" s="54"/>
      <c r="B117" s="8" t="s">
        <v>88</v>
      </c>
      <c r="C117" s="26" t="s">
        <v>3</v>
      </c>
      <c r="D117" s="27"/>
      <c r="E117" s="113" t="str">
        <f t="shared" si="8"/>
        <v/>
      </c>
      <c r="F117" s="34" t="str">
        <f t="shared" si="9"/>
        <v/>
      </c>
      <c r="G117" s="14"/>
      <c r="H117" s="57"/>
      <c r="I117" s="111"/>
      <c r="J117" s="111"/>
      <c r="K117" s="112" t="str">
        <f t="shared" si="10"/>
        <v/>
      </c>
      <c r="L117" s="112" t="str">
        <f t="shared" si="11"/>
        <v/>
      </c>
    </row>
    <row r="118" spans="1:12" outlineLevel="1">
      <c r="A118" s="54"/>
      <c r="B118" s="8" t="s">
        <v>190</v>
      </c>
      <c r="C118" s="26" t="s">
        <v>3</v>
      </c>
      <c r="D118" s="27"/>
      <c r="E118" s="113" t="str">
        <f t="shared" si="8"/>
        <v/>
      </c>
      <c r="F118" s="34" t="str">
        <f t="shared" si="9"/>
        <v/>
      </c>
      <c r="G118" s="14"/>
      <c r="H118" s="57"/>
      <c r="I118" s="111"/>
      <c r="J118" s="111"/>
      <c r="K118" s="112" t="str">
        <f t="shared" si="10"/>
        <v/>
      </c>
      <c r="L118" s="112" t="str">
        <f t="shared" si="11"/>
        <v/>
      </c>
    </row>
    <row r="119" spans="1:12" outlineLevel="1">
      <c r="A119" s="54"/>
      <c r="B119" s="8" t="s">
        <v>89</v>
      </c>
      <c r="C119" s="26" t="s">
        <v>26</v>
      </c>
      <c r="D119" s="27"/>
      <c r="E119" s="113" t="str">
        <f t="shared" si="8"/>
        <v/>
      </c>
      <c r="F119" s="34" t="str">
        <f t="shared" si="9"/>
        <v/>
      </c>
      <c r="G119" s="14"/>
      <c r="H119" s="57"/>
      <c r="I119" s="111"/>
      <c r="J119" s="111"/>
      <c r="K119" s="112" t="str">
        <f t="shared" si="10"/>
        <v/>
      </c>
      <c r="L119" s="112" t="str">
        <f t="shared" si="11"/>
        <v/>
      </c>
    </row>
    <row r="120" spans="1:12" outlineLevel="1">
      <c r="A120" s="54"/>
      <c r="B120" s="22" t="s">
        <v>403</v>
      </c>
      <c r="C120" s="46" t="s">
        <v>26</v>
      </c>
      <c r="D120" s="27"/>
      <c r="E120" s="113" t="str">
        <f t="shared" si="8"/>
        <v/>
      </c>
      <c r="F120" s="34" t="str">
        <f t="shared" si="9"/>
        <v/>
      </c>
      <c r="G120" s="14"/>
      <c r="H120" s="57"/>
      <c r="I120" s="111"/>
      <c r="J120" s="111"/>
      <c r="K120" s="112" t="str">
        <f t="shared" si="10"/>
        <v/>
      </c>
      <c r="L120" s="112" t="str">
        <f t="shared" si="11"/>
        <v/>
      </c>
    </row>
    <row r="121" spans="1:12" outlineLevel="1">
      <c r="A121" s="54"/>
      <c r="B121" s="8" t="s">
        <v>90</v>
      </c>
      <c r="C121" s="26" t="s">
        <v>26</v>
      </c>
      <c r="D121" s="27"/>
      <c r="E121" s="113" t="str">
        <f t="shared" si="8"/>
        <v/>
      </c>
      <c r="F121" s="34" t="str">
        <f t="shared" si="9"/>
        <v/>
      </c>
      <c r="G121" s="14"/>
      <c r="H121" s="57"/>
      <c r="I121" s="111"/>
      <c r="J121" s="111"/>
      <c r="K121" s="112" t="str">
        <f t="shared" si="10"/>
        <v/>
      </c>
      <c r="L121" s="112" t="str">
        <f t="shared" si="11"/>
        <v/>
      </c>
    </row>
    <row r="122" spans="1:12" outlineLevel="1">
      <c r="A122" s="54"/>
      <c r="B122" s="8" t="s">
        <v>91</v>
      </c>
      <c r="C122" s="26" t="s">
        <v>26</v>
      </c>
      <c r="D122" s="27"/>
      <c r="E122" s="113" t="str">
        <f t="shared" si="8"/>
        <v/>
      </c>
      <c r="F122" s="34" t="str">
        <f t="shared" si="9"/>
        <v/>
      </c>
      <c r="G122" s="14"/>
      <c r="H122" s="57"/>
      <c r="I122" s="111"/>
      <c r="J122" s="111"/>
      <c r="K122" s="112" t="str">
        <f t="shared" si="10"/>
        <v/>
      </c>
      <c r="L122" s="112" t="str">
        <f t="shared" si="11"/>
        <v/>
      </c>
    </row>
    <row r="123" spans="1:12" outlineLevel="1">
      <c r="A123" s="54"/>
      <c r="B123" s="8" t="s">
        <v>92</v>
      </c>
      <c r="C123" s="26" t="s">
        <v>26</v>
      </c>
      <c r="D123" s="27"/>
      <c r="E123" s="113" t="str">
        <f t="shared" si="8"/>
        <v/>
      </c>
      <c r="F123" s="34" t="str">
        <f t="shared" si="9"/>
        <v/>
      </c>
      <c r="G123" s="14"/>
      <c r="H123" s="57"/>
      <c r="I123" s="111"/>
      <c r="J123" s="111"/>
      <c r="K123" s="112" t="str">
        <f t="shared" si="10"/>
        <v/>
      </c>
      <c r="L123" s="112" t="str">
        <f t="shared" si="11"/>
        <v/>
      </c>
    </row>
    <row r="124" spans="1:12" outlineLevel="1">
      <c r="A124" s="54"/>
      <c r="B124" s="8" t="s">
        <v>93</v>
      </c>
      <c r="C124" s="26" t="s">
        <v>26</v>
      </c>
      <c r="D124" s="27"/>
      <c r="E124" s="113" t="str">
        <f t="shared" si="8"/>
        <v/>
      </c>
      <c r="F124" s="34" t="str">
        <f t="shared" si="9"/>
        <v/>
      </c>
      <c r="G124" s="14"/>
      <c r="H124" s="57"/>
      <c r="I124" s="111"/>
      <c r="J124" s="111"/>
      <c r="K124" s="112" t="str">
        <f t="shared" si="10"/>
        <v/>
      </c>
      <c r="L124" s="112" t="str">
        <f t="shared" si="11"/>
        <v/>
      </c>
    </row>
    <row r="125" spans="1:12" outlineLevel="1">
      <c r="A125" s="54"/>
      <c r="B125" s="8"/>
      <c r="C125" s="26"/>
      <c r="D125" s="27"/>
      <c r="E125" s="113" t="str">
        <f t="shared" si="8"/>
        <v/>
      </c>
      <c r="F125" s="34" t="str">
        <f t="shared" si="9"/>
        <v/>
      </c>
      <c r="G125" s="14"/>
      <c r="H125" s="57"/>
      <c r="I125" s="111"/>
      <c r="J125" s="111"/>
      <c r="K125" s="112" t="str">
        <f t="shared" si="10"/>
        <v/>
      </c>
      <c r="L125" s="112" t="str">
        <f t="shared" si="11"/>
        <v/>
      </c>
    </row>
    <row r="126" spans="1:12">
      <c r="A126" s="54" t="s">
        <v>210</v>
      </c>
      <c r="B126" s="76" t="s">
        <v>267</v>
      </c>
      <c r="C126" s="26"/>
      <c r="D126" s="27"/>
      <c r="E126" s="113" t="str">
        <f t="shared" si="8"/>
        <v/>
      </c>
      <c r="F126" s="34" t="str">
        <f t="shared" si="9"/>
        <v/>
      </c>
      <c r="G126" s="14"/>
      <c r="H126" s="57"/>
      <c r="I126" s="111"/>
      <c r="J126" s="111"/>
      <c r="K126" s="112" t="str">
        <f t="shared" si="10"/>
        <v/>
      </c>
      <c r="L126" s="112" t="str">
        <f t="shared" si="11"/>
        <v/>
      </c>
    </row>
    <row r="127" spans="1:12" ht="15.75" customHeight="1" outlineLevel="1">
      <c r="A127" s="54"/>
      <c r="B127" s="76"/>
      <c r="C127" s="26"/>
      <c r="D127" s="27"/>
      <c r="E127" s="113" t="str">
        <f t="shared" si="8"/>
        <v/>
      </c>
      <c r="F127" s="34" t="str">
        <f t="shared" si="9"/>
        <v/>
      </c>
      <c r="G127" s="14"/>
      <c r="H127" s="57"/>
      <c r="I127" s="111"/>
      <c r="J127" s="111"/>
      <c r="K127" s="112" t="str">
        <f t="shared" si="10"/>
        <v/>
      </c>
      <c r="L127" s="112" t="str">
        <f t="shared" si="11"/>
        <v/>
      </c>
    </row>
    <row r="128" spans="1:12" outlineLevel="1">
      <c r="A128" s="54"/>
      <c r="B128" s="8" t="s">
        <v>39</v>
      </c>
      <c r="C128" s="26" t="s">
        <v>3</v>
      </c>
      <c r="D128" s="27"/>
      <c r="E128" s="113" t="str">
        <f t="shared" si="8"/>
        <v/>
      </c>
      <c r="F128" s="34" t="str">
        <f t="shared" si="9"/>
        <v/>
      </c>
      <c r="G128" s="14"/>
      <c r="H128" s="57"/>
      <c r="I128" s="111"/>
      <c r="J128" s="111"/>
      <c r="K128" s="112" t="str">
        <f t="shared" si="10"/>
        <v/>
      </c>
      <c r="L128" s="112" t="str">
        <f t="shared" si="11"/>
        <v/>
      </c>
    </row>
    <row r="129" spans="1:12" outlineLevel="1">
      <c r="A129" s="54"/>
      <c r="B129" s="8" t="s">
        <v>40</v>
      </c>
      <c r="C129" s="26" t="s">
        <v>26</v>
      </c>
      <c r="D129" s="27"/>
      <c r="E129" s="113" t="str">
        <f t="shared" si="8"/>
        <v/>
      </c>
      <c r="F129" s="34" t="str">
        <f t="shared" si="9"/>
        <v/>
      </c>
      <c r="G129" s="14"/>
      <c r="H129" s="57"/>
      <c r="I129" s="111"/>
      <c r="J129" s="111"/>
      <c r="K129" s="112" t="str">
        <f t="shared" si="10"/>
        <v/>
      </c>
      <c r="L129" s="112" t="str">
        <f t="shared" si="11"/>
        <v/>
      </c>
    </row>
    <row r="130" spans="1:12" outlineLevel="1">
      <c r="A130" s="54"/>
      <c r="B130" s="8" t="s">
        <v>41</v>
      </c>
      <c r="C130" s="26" t="s">
        <v>26</v>
      </c>
      <c r="D130" s="27"/>
      <c r="E130" s="113" t="str">
        <f t="shared" si="8"/>
        <v/>
      </c>
      <c r="F130" s="34" t="str">
        <f t="shared" si="9"/>
        <v/>
      </c>
      <c r="G130" s="14"/>
      <c r="H130" s="57"/>
      <c r="I130" s="111"/>
      <c r="J130" s="111"/>
      <c r="K130" s="112" t="str">
        <f t="shared" si="10"/>
        <v/>
      </c>
      <c r="L130" s="112" t="str">
        <f t="shared" si="11"/>
        <v/>
      </c>
    </row>
    <row r="131" spans="1:12" outlineLevel="1">
      <c r="A131" s="54"/>
      <c r="B131" s="8" t="s">
        <v>42</v>
      </c>
      <c r="C131" s="26" t="s">
        <v>26</v>
      </c>
      <c r="D131" s="27"/>
      <c r="E131" s="113" t="str">
        <f t="shared" si="8"/>
        <v/>
      </c>
      <c r="F131" s="34" t="str">
        <f t="shared" si="9"/>
        <v/>
      </c>
      <c r="G131" s="14"/>
      <c r="H131" s="57"/>
      <c r="I131" s="111"/>
      <c r="J131" s="111"/>
      <c r="K131" s="112" t="str">
        <f t="shared" si="10"/>
        <v/>
      </c>
      <c r="L131" s="112" t="str">
        <f t="shared" si="11"/>
        <v/>
      </c>
    </row>
    <row r="132" spans="1:12" outlineLevel="1">
      <c r="A132" s="54"/>
      <c r="B132" s="8" t="s">
        <v>416</v>
      </c>
      <c r="C132" s="26" t="s">
        <v>26</v>
      </c>
      <c r="D132" s="27"/>
      <c r="E132" s="113" t="str">
        <f t="shared" si="8"/>
        <v/>
      </c>
      <c r="F132" s="34" t="str">
        <f t="shared" si="9"/>
        <v/>
      </c>
      <c r="G132" s="14"/>
      <c r="H132" s="57"/>
      <c r="I132" s="111"/>
      <c r="J132" s="111"/>
      <c r="K132" s="112" t="str">
        <f t="shared" si="10"/>
        <v/>
      </c>
      <c r="L132" s="112" t="str">
        <f t="shared" si="11"/>
        <v/>
      </c>
    </row>
    <row r="133" spans="1:12" outlineLevel="1">
      <c r="A133" s="54"/>
      <c r="B133" s="8" t="s">
        <v>43</v>
      </c>
      <c r="C133" s="26" t="s">
        <v>26</v>
      </c>
      <c r="D133" s="27"/>
      <c r="E133" s="113" t="str">
        <f t="shared" si="8"/>
        <v/>
      </c>
      <c r="F133" s="34" t="str">
        <f t="shared" si="9"/>
        <v/>
      </c>
      <c r="G133" s="14"/>
      <c r="H133" s="57"/>
      <c r="I133" s="111"/>
      <c r="J133" s="111"/>
      <c r="K133" s="112" t="str">
        <f t="shared" si="10"/>
        <v/>
      </c>
      <c r="L133" s="112" t="str">
        <f t="shared" si="11"/>
        <v/>
      </c>
    </row>
    <row r="134" spans="1:12" outlineLevel="1">
      <c r="A134" s="54"/>
      <c r="B134" s="8" t="s">
        <v>25</v>
      </c>
      <c r="C134" s="26" t="s">
        <v>26</v>
      </c>
      <c r="D134" s="27"/>
      <c r="E134" s="113" t="str">
        <f t="shared" si="8"/>
        <v/>
      </c>
      <c r="F134" s="34" t="str">
        <f t="shared" si="9"/>
        <v/>
      </c>
      <c r="G134" s="14"/>
      <c r="H134" s="57"/>
      <c r="I134" s="111"/>
      <c r="J134" s="111"/>
      <c r="K134" s="112" t="str">
        <f t="shared" si="10"/>
        <v/>
      </c>
      <c r="L134" s="112" t="str">
        <f t="shared" si="11"/>
        <v/>
      </c>
    </row>
    <row r="135" spans="1:12" outlineLevel="1">
      <c r="A135" s="54"/>
      <c r="B135" s="8"/>
      <c r="C135" s="26"/>
      <c r="D135" s="27"/>
      <c r="E135" s="113" t="str">
        <f t="shared" si="8"/>
        <v/>
      </c>
      <c r="F135" s="34" t="str">
        <f t="shared" si="9"/>
        <v/>
      </c>
      <c r="G135" s="14"/>
      <c r="H135" s="57"/>
      <c r="I135" s="111"/>
      <c r="J135" s="111"/>
      <c r="K135" s="112" t="str">
        <f t="shared" si="10"/>
        <v/>
      </c>
      <c r="L135" s="112" t="str">
        <f t="shared" si="11"/>
        <v/>
      </c>
    </row>
    <row r="136" spans="1:12">
      <c r="A136" s="54" t="s">
        <v>211</v>
      </c>
      <c r="B136" s="76" t="s">
        <v>313</v>
      </c>
      <c r="C136" s="26"/>
      <c r="D136" s="27"/>
      <c r="E136" s="113" t="str">
        <f t="shared" si="8"/>
        <v/>
      </c>
      <c r="F136" s="34" t="str">
        <f t="shared" si="9"/>
        <v/>
      </c>
      <c r="G136" s="14"/>
      <c r="H136" s="57"/>
      <c r="I136" s="111"/>
      <c r="J136" s="111"/>
      <c r="K136" s="112" t="str">
        <f t="shared" si="10"/>
        <v/>
      </c>
      <c r="L136" s="112" t="str">
        <f t="shared" si="11"/>
        <v/>
      </c>
    </row>
    <row r="137" spans="1:12" ht="15.75" customHeight="1" outlineLevel="1">
      <c r="A137" s="54"/>
      <c r="B137" s="76"/>
      <c r="C137" s="26"/>
      <c r="D137" s="27"/>
      <c r="E137" s="113" t="str">
        <f t="shared" si="8"/>
        <v/>
      </c>
      <c r="F137" s="34" t="str">
        <f t="shared" si="9"/>
        <v/>
      </c>
      <c r="G137" s="14"/>
      <c r="H137" s="57"/>
      <c r="I137" s="111"/>
      <c r="J137" s="111"/>
      <c r="K137" s="112" t="str">
        <f t="shared" si="10"/>
        <v/>
      </c>
      <c r="L137" s="112" t="str">
        <f t="shared" si="11"/>
        <v/>
      </c>
    </row>
    <row r="138" spans="1:12" outlineLevel="1">
      <c r="A138" s="54"/>
      <c r="B138" s="8" t="s">
        <v>276</v>
      </c>
      <c r="C138" s="26" t="s">
        <v>3</v>
      </c>
      <c r="D138" s="27"/>
      <c r="E138" s="113" t="str">
        <f t="shared" ref="E138:E201" si="12">IF(D138="","",(((K138*$L$2)+(L138*$J$2*$J$3))*$L$3)/D138)</f>
        <v/>
      </c>
      <c r="F138" s="34" t="str">
        <f t="shared" ref="F138:F201" si="13">IF(D138="","",D138*E138)</f>
        <v/>
      </c>
      <c r="G138" s="14"/>
      <c r="H138" s="57"/>
      <c r="I138" s="111"/>
      <c r="J138" s="111"/>
      <c r="K138" s="112" t="str">
        <f t="shared" ref="K138:K201" si="14">IF(D138="","",I138*D138)</f>
        <v/>
      </c>
      <c r="L138" s="112" t="str">
        <f t="shared" ref="L138:L201" si="15">IF(D138="","",D138*J138)</f>
        <v/>
      </c>
    </row>
    <row r="139" spans="1:12" outlineLevel="1">
      <c r="A139" s="54"/>
      <c r="B139" s="8" t="s">
        <v>40</v>
      </c>
      <c r="C139" s="26" t="s">
        <v>26</v>
      </c>
      <c r="D139" s="27"/>
      <c r="E139" s="113" t="str">
        <f t="shared" si="12"/>
        <v/>
      </c>
      <c r="F139" s="34" t="str">
        <f t="shared" si="13"/>
        <v/>
      </c>
      <c r="G139" s="14"/>
      <c r="H139" s="57"/>
      <c r="I139" s="111"/>
      <c r="J139" s="111"/>
      <c r="K139" s="112" t="str">
        <f t="shared" si="14"/>
        <v/>
      </c>
      <c r="L139" s="112" t="str">
        <f t="shared" si="15"/>
        <v/>
      </c>
    </row>
    <row r="140" spans="1:12" outlineLevel="1">
      <c r="A140" s="54"/>
      <c r="B140" s="8" t="s">
        <v>280</v>
      </c>
      <c r="C140" s="26" t="s">
        <v>26</v>
      </c>
      <c r="D140" s="27"/>
      <c r="E140" s="113" t="str">
        <f t="shared" si="12"/>
        <v/>
      </c>
      <c r="F140" s="34" t="str">
        <f t="shared" si="13"/>
        <v/>
      </c>
      <c r="G140" s="14"/>
      <c r="H140" s="57"/>
      <c r="I140" s="111"/>
      <c r="J140" s="111"/>
      <c r="K140" s="112" t="str">
        <f t="shared" si="14"/>
        <v/>
      </c>
      <c r="L140" s="112" t="str">
        <f t="shared" si="15"/>
        <v/>
      </c>
    </row>
    <row r="141" spans="1:12" outlineLevel="1">
      <c r="A141" s="54"/>
      <c r="B141" s="8" t="s">
        <v>42</v>
      </c>
      <c r="C141" s="26" t="s">
        <v>26</v>
      </c>
      <c r="D141" s="27"/>
      <c r="E141" s="113" t="str">
        <f t="shared" si="12"/>
        <v/>
      </c>
      <c r="F141" s="34" t="str">
        <f t="shared" si="13"/>
        <v/>
      </c>
      <c r="G141" s="14"/>
      <c r="H141" s="57"/>
      <c r="I141" s="111"/>
      <c r="J141" s="111"/>
      <c r="K141" s="112" t="str">
        <f t="shared" si="14"/>
        <v/>
      </c>
      <c r="L141" s="112" t="str">
        <f t="shared" si="15"/>
        <v/>
      </c>
    </row>
    <row r="142" spans="1:12" outlineLevel="1">
      <c r="A142" s="54"/>
      <c r="B142" s="8" t="s">
        <v>416</v>
      </c>
      <c r="C142" s="26" t="s">
        <v>26</v>
      </c>
      <c r="D142" s="27"/>
      <c r="E142" s="113" t="str">
        <f t="shared" si="12"/>
        <v/>
      </c>
      <c r="F142" s="34" t="str">
        <f t="shared" si="13"/>
        <v/>
      </c>
      <c r="G142" s="14"/>
      <c r="H142" s="57"/>
      <c r="I142" s="111"/>
      <c r="J142" s="111"/>
      <c r="K142" s="112" t="str">
        <f t="shared" si="14"/>
        <v/>
      </c>
      <c r="L142" s="112" t="str">
        <f t="shared" si="15"/>
        <v/>
      </c>
    </row>
    <row r="143" spans="1:12" outlineLevel="1">
      <c r="A143" s="54"/>
      <c r="B143" s="8" t="s">
        <v>43</v>
      </c>
      <c r="C143" s="26" t="s">
        <v>26</v>
      </c>
      <c r="D143" s="27"/>
      <c r="E143" s="113" t="str">
        <f t="shared" si="12"/>
        <v/>
      </c>
      <c r="F143" s="34" t="str">
        <f t="shared" si="13"/>
        <v/>
      </c>
      <c r="G143" s="14"/>
      <c r="H143" s="57"/>
      <c r="I143" s="111"/>
      <c r="J143" s="111"/>
      <c r="K143" s="112" t="str">
        <f t="shared" si="14"/>
        <v/>
      </c>
      <c r="L143" s="112" t="str">
        <f t="shared" si="15"/>
        <v/>
      </c>
    </row>
    <row r="144" spans="1:12" outlineLevel="1">
      <c r="A144" s="54"/>
      <c r="B144" s="8"/>
      <c r="C144" s="26"/>
      <c r="D144" s="27"/>
      <c r="E144" s="113" t="str">
        <f t="shared" si="12"/>
        <v/>
      </c>
      <c r="F144" s="34" t="str">
        <f t="shared" si="13"/>
        <v/>
      </c>
      <c r="G144" s="14"/>
      <c r="H144" s="57"/>
      <c r="I144" s="111"/>
      <c r="J144" s="111"/>
      <c r="K144" s="112" t="str">
        <f t="shared" si="14"/>
        <v/>
      </c>
      <c r="L144" s="112" t="str">
        <f t="shared" si="15"/>
        <v/>
      </c>
    </row>
    <row r="145" spans="1:12">
      <c r="A145" s="54" t="s">
        <v>212</v>
      </c>
      <c r="B145" s="76" t="s">
        <v>417</v>
      </c>
      <c r="C145" s="26"/>
      <c r="D145" s="27"/>
      <c r="E145" s="113" t="str">
        <f t="shared" si="12"/>
        <v/>
      </c>
      <c r="F145" s="34" t="str">
        <f t="shared" si="13"/>
        <v/>
      </c>
      <c r="G145" s="14"/>
      <c r="H145" s="57"/>
      <c r="I145" s="111"/>
      <c r="J145" s="111"/>
      <c r="K145" s="112" t="str">
        <f t="shared" si="14"/>
        <v/>
      </c>
      <c r="L145" s="112" t="str">
        <f t="shared" si="15"/>
        <v/>
      </c>
    </row>
    <row r="146" spans="1:12" ht="15.75" customHeight="1" outlineLevel="1">
      <c r="A146" s="54"/>
      <c r="B146" s="76"/>
      <c r="C146" s="26"/>
      <c r="D146" s="27"/>
      <c r="E146" s="113" t="str">
        <f t="shared" si="12"/>
        <v/>
      </c>
      <c r="F146" s="34" t="str">
        <f t="shared" si="13"/>
        <v/>
      </c>
      <c r="G146" s="14"/>
      <c r="H146" s="57"/>
      <c r="I146" s="111"/>
      <c r="J146" s="111"/>
      <c r="K146" s="112" t="str">
        <f t="shared" si="14"/>
        <v/>
      </c>
      <c r="L146" s="112" t="str">
        <f t="shared" si="15"/>
        <v/>
      </c>
    </row>
    <row r="147" spans="1:12" outlineLevel="1">
      <c r="A147" s="54"/>
      <c r="B147" s="8" t="s">
        <v>333</v>
      </c>
      <c r="C147" s="26" t="s">
        <v>3</v>
      </c>
      <c r="D147" s="27"/>
      <c r="E147" s="113" t="str">
        <f t="shared" si="12"/>
        <v/>
      </c>
      <c r="F147" s="34" t="str">
        <f t="shared" si="13"/>
        <v/>
      </c>
      <c r="G147" s="14"/>
      <c r="H147" s="57"/>
      <c r="I147" s="111"/>
      <c r="J147" s="111"/>
      <c r="K147" s="112" t="str">
        <f t="shared" si="14"/>
        <v/>
      </c>
      <c r="L147" s="112" t="str">
        <f t="shared" si="15"/>
        <v/>
      </c>
    </row>
    <row r="148" spans="1:12" outlineLevel="1">
      <c r="A148" s="54"/>
      <c r="B148" s="8" t="s">
        <v>40</v>
      </c>
      <c r="C148" s="26" t="s">
        <v>26</v>
      </c>
      <c r="D148" s="27"/>
      <c r="E148" s="113" t="str">
        <f t="shared" si="12"/>
        <v/>
      </c>
      <c r="F148" s="34" t="str">
        <f t="shared" si="13"/>
        <v/>
      </c>
      <c r="G148" s="14"/>
      <c r="H148" s="57"/>
      <c r="I148" s="111"/>
      <c r="J148" s="111"/>
      <c r="K148" s="112" t="str">
        <f t="shared" si="14"/>
        <v/>
      </c>
      <c r="L148" s="112" t="str">
        <f t="shared" si="15"/>
        <v/>
      </c>
    </row>
    <row r="149" spans="1:12" outlineLevel="1">
      <c r="A149" s="54"/>
      <c r="B149" s="8" t="s">
        <v>280</v>
      </c>
      <c r="C149" s="26" t="s">
        <v>26</v>
      </c>
      <c r="D149" s="27"/>
      <c r="E149" s="113" t="str">
        <f t="shared" si="12"/>
        <v/>
      </c>
      <c r="F149" s="34" t="str">
        <f t="shared" si="13"/>
        <v/>
      </c>
      <c r="G149" s="14"/>
      <c r="H149" s="57"/>
      <c r="I149" s="111"/>
      <c r="J149" s="111"/>
      <c r="K149" s="112" t="str">
        <f t="shared" si="14"/>
        <v/>
      </c>
      <c r="L149" s="112" t="str">
        <f t="shared" si="15"/>
        <v/>
      </c>
    </row>
    <row r="150" spans="1:12" outlineLevel="1">
      <c r="A150" s="54"/>
      <c r="B150" s="8" t="s">
        <v>42</v>
      </c>
      <c r="C150" s="26" t="s">
        <v>26</v>
      </c>
      <c r="D150" s="27"/>
      <c r="E150" s="113" t="str">
        <f t="shared" si="12"/>
        <v/>
      </c>
      <c r="F150" s="34" t="str">
        <f t="shared" si="13"/>
        <v/>
      </c>
      <c r="G150" s="14"/>
      <c r="H150" s="57"/>
      <c r="I150" s="111"/>
      <c r="J150" s="111"/>
      <c r="K150" s="112" t="str">
        <f t="shared" si="14"/>
        <v/>
      </c>
      <c r="L150" s="112" t="str">
        <f t="shared" si="15"/>
        <v/>
      </c>
    </row>
    <row r="151" spans="1:12" outlineLevel="1">
      <c r="A151" s="54"/>
      <c r="B151" s="8" t="s">
        <v>332</v>
      </c>
      <c r="C151" s="26" t="s">
        <v>26</v>
      </c>
      <c r="D151" s="27"/>
      <c r="E151" s="113" t="str">
        <f t="shared" si="12"/>
        <v/>
      </c>
      <c r="F151" s="34" t="str">
        <f t="shared" si="13"/>
        <v/>
      </c>
      <c r="G151" s="14"/>
      <c r="H151" s="57"/>
      <c r="I151" s="111"/>
      <c r="J151" s="111"/>
      <c r="K151" s="112" t="str">
        <f t="shared" si="14"/>
        <v/>
      </c>
      <c r="L151" s="112" t="str">
        <f t="shared" si="15"/>
        <v/>
      </c>
    </row>
    <row r="152" spans="1:12" outlineLevel="1">
      <c r="A152" s="54"/>
      <c r="B152" s="8"/>
      <c r="C152" s="26"/>
      <c r="D152" s="27"/>
      <c r="E152" s="113" t="str">
        <f t="shared" si="12"/>
        <v/>
      </c>
      <c r="F152" s="34" t="str">
        <f t="shared" si="13"/>
        <v/>
      </c>
      <c r="G152" s="14"/>
      <c r="H152" s="57"/>
      <c r="I152" s="111"/>
      <c r="J152" s="111"/>
      <c r="K152" s="112" t="str">
        <f t="shared" si="14"/>
        <v/>
      </c>
      <c r="L152" s="112" t="str">
        <f t="shared" si="15"/>
        <v/>
      </c>
    </row>
    <row r="153" spans="1:12">
      <c r="A153" s="54" t="s">
        <v>213</v>
      </c>
      <c r="B153" s="76" t="s">
        <v>268</v>
      </c>
      <c r="C153" s="26"/>
      <c r="D153" s="27"/>
      <c r="E153" s="113" t="str">
        <f t="shared" si="12"/>
        <v/>
      </c>
      <c r="F153" s="34" t="str">
        <f t="shared" si="13"/>
        <v/>
      </c>
      <c r="G153" s="14"/>
      <c r="H153" s="57"/>
      <c r="I153" s="111"/>
      <c r="J153" s="111"/>
      <c r="K153" s="112" t="str">
        <f t="shared" si="14"/>
        <v/>
      </c>
      <c r="L153" s="112" t="str">
        <f t="shared" si="15"/>
        <v/>
      </c>
    </row>
    <row r="154" spans="1:12" ht="15.75" customHeight="1" outlineLevel="1">
      <c r="A154" s="54"/>
      <c r="B154" s="76"/>
      <c r="C154" s="26"/>
      <c r="D154" s="27"/>
      <c r="E154" s="113" t="str">
        <f t="shared" si="12"/>
        <v/>
      </c>
      <c r="F154" s="34" t="str">
        <f t="shared" si="13"/>
        <v/>
      </c>
      <c r="G154" s="14"/>
      <c r="H154" s="57"/>
      <c r="I154" s="111"/>
      <c r="J154" s="111"/>
      <c r="K154" s="112" t="str">
        <f t="shared" si="14"/>
        <v/>
      </c>
      <c r="L154" s="112" t="str">
        <f t="shared" si="15"/>
        <v/>
      </c>
    </row>
    <row r="155" spans="1:12" outlineLevel="1">
      <c r="A155" s="54"/>
      <c r="B155" s="8" t="s">
        <v>39</v>
      </c>
      <c r="C155" s="26" t="s">
        <v>3</v>
      </c>
      <c r="D155" s="27"/>
      <c r="E155" s="113" t="str">
        <f t="shared" si="12"/>
        <v/>
      </c>
      <c r="F155" s="34" t="str">
        <f t="shared" si="13"/>
        <v/>
      </c>
      <c r="G155" s="14"/>
      <c r="H155" s="57"/>
      <c r="I155" s="111"/>
      <c r="J155" s="111"/>
      <c r="K155" s="112" t="str">
        <f t="shared" si="14"/>
        <v/>
      </c>
      <c r="L155" s="112" t="str">
        <f t="shared" si="15"/>
        <v/>
      </c>
    </row>
    <row r="156" spans="1:12" outlineLevel="1">
      <c r="A156" s="54"/>
      <c r="B156" s="8" t="s">
        <v>40</v>
      </c>
      <c r="C156" s="26" t="s">
        <v>26</v>
      </c>
      <c r="D156" s="27"/>
      <c r="E156" s="113" t="str">
        <f t="shared" si="12"/>
        <v/>
      </c>
      <c r="F156" s="34" t="str">
        <f t="shared" si="13"/>
        <v/>
      </c>
      <c r="G156" s="14"/>
      <c r="H156" s="57"/>
      <c r="I156" s="111"/>
      <c r="J156" s="111"/>
      <c r="K156" s="112" t="str">
        <f t="shared" si="14"/>
        <v/>
      </c>
      <c r="L156" s="112" t="str">
        <f t="shared" si="15"/>
        <v/>
      </c>
    </row>
    <row r="157" spans="1:12" outlineLevel="1">
      <c r="A157" s="54"/>
      <c r="B157" s="8" t="s">
        <v>41</v>
      </c>
      <c r="C157" s="26" t="s">
        <v>26</v>
      </c>
      <c r="D157" s="27"/>
      <c r="E157" s="113" t="str">
        <f t="shared" si="12"/>
        <v/>
      </c>
      <c r="F157" s="34" t="str">
        <f t="shared" si="13"/>
        <v/>
      </c>
      <c r="G157" s="14"/>
      <c r="H157" s="57"/>
      <c r="I157" s="111"/>
      <c r="J157" s="111"/>
      <c r="K157" s="112" t="str">
        <f t="shared" si="14"/>
        <v/>
      </c>
      <c r="L157" s="112" t="str">
        <f t="shared" si="15"/>
        <v/>
      </c>
    </row>
    <row r="158" spans="1:12" outlineLevel="1">
      <c r="A158" s="54"/>
      <c r="B158" s="8" t="s">
        <v>42</v>
      </c>
      <c r="C158" s="26" t="s">
        <v>26</v>
      </c>
      <c r="D158" s="27"/>
      <c r="E158" s="113" t="str">
        <f t="shared" si="12"/>
        <v/>
      </c>
      <c r="F158" s="34" t="str">
        <f t="shared" si="13"/>
        <v/>
      </c>
      <c r="G158" s="14"/>
      <c r="H158" s="57"/>
      <c r="I158" s="111"/>
      <c r="J158" s="111"/>
      <c r="K158" s="112" t="str">
        <f t="shared" si="14"/>
        <v/>
      </c>
      <c r="L158" s="112" t="str">
        <f t="shared" si="15"/>
        <v/>
      </c>
    </row>
    <row r="159" spans="1:12" outlineLevel="1">
      <c r="A159" s="54"/>
      <c r="B159" s="8" t="s">
        <v>416</v>
      </c>
      <c r="C159" s="26" t="s">
        <v>26</v>
      </c>
      <c r="D159" s="27"/>
      <c r="E159" s="113" t="str">
        <f t="shared" si="12"/>
        <v/>
      </c>
      <c r="F159" s="34" t="str">
        <f t="shared" si="13"/>
        <v/>
      </c>
      <c r="G159" s="14"/>
      <c r="H159" s="57"/>
      <c r="I159" s="111"/>
      <c r="J159" s="111"/>
      <c r="K159" s="112" t="str">
        <f t="shared" si="14"/>
        <v/>
      </c>
      <c r="L159" s="112" t="str">
        <f t="shared" si="15"/>
        <v/>
      </c>
    </row>
    <row r="160" spans="1:12" outlineLevel="1">
      <c r="A160" s="54"/>
      <c r="B160" s="8" t="s">
        <v>43</v>
      </c>
      <c r="C160" s="26" t="s">
        <v>26</v>
      </c>
      <c r="D160" s="27"/>
      <c r="E160" s="113" t="str">
        <f t="shared" si="12"/>
        <v/>
      </c>
      <c r="F160" s="34" t="str">
        <f t="shared" si="13"/>
        <v/>
      </c>
      <c r="G160" s="14"/>
      <c r="H160" s="57"/>
      <c r="I160" s="111"/>
      <c r="J160" s="111"/>
      <c r="K160" s="112" t="str">
        <f t="shared" si="14"/>
        <v/>
      </c>
      <c r="L160" s="112" t="str">
        <f t="shared" si="15"/>
        <v/>
      </c>
    </row>
    <row r="161" spans="1:12" outlineLevel="1">
      <c r="A161" s="54"/>
      <c r="B161" s="8" t="s">
        <v>25</v>
      </c>
      <c r="C161" s="26" t="s">
        <v>26</v>
      </c>
      <c r="D161" s="27"/>
      <c r="E161" s="113" t="str">
        <f t="shared" si="12"/>
        <v/>
      </c>
      <c r="F161" s="34" t="str">
        <f t="shared" si="13"/>
        <v/>
      </c>
      <c r="G161" s="14"/>
      <c r="H161" s="57"/>
      <c r="I161" s="111"/>
      <c r="J161" s="111"/>
      <c r="K161" s="112" t="str">
        <f t="shared" si="14"/>
        <v/>
      </c>
      <c r="L161" s="112" t="str">
        <f t="shared" si="15"/>
        <v/>
      </c>
    </row>
    <row r="162" spans="1:12" outlineLevel="1">
      <c r="A162" s="54"/>
      <c r="B162" s="8"/>
      <c r="C162" s="26"/>
      <c r="D162" s="27"/>
      <c r="E162" s="113" t="str">
        <f t="shared" si="12"/>
        <v/>
      </c>
      <c r="F162" s="34" t="str">
        <f t="shared" si="13"/>
        <v/>
      </c>
      <c r="G162" s="14"/>
      <c r="H162" s="57"/>
      <c r="I162" s="111"/>
      <c r="J162" s="111"/>
      <c r="K162" s="112" t="str">
        <f t="shared" si="14"/>
        <v/>
      </c>
      <c r="L162" s="112" t="str">
        <f t="shared" si="15"/>
        <v/>
      </c>
    </row>
    <row r="163" spans="1:12">
      <c r="A163" s="54" t="s">
        <v>214</v>
      </c>
      <c r="B163" s="76" t="s">
        <v>281</v>
      </c>
      <c r="C163" s="26"/>
      <c r="D163" s="27"/>
      <c r="E163" s="113" t="str">
        <f t="shared" si="12"/>
        <v/>
      </c>
      <c r="F163" s="34" t="str">
        <f t="shared" si="13"/>
        <v/>
      </c>
      <c r="G163" s="14"/>
      <c r="H163" s="57"/>
      <c r="I163" s="111"/>
      <c r="J163" s="111"/>
      <c r="K163" s="112" t="str">
        <f t="shared" si="14"/>
        <v/>
      </c>
      <c r="L163" s="112" t="str">
        <f t="shared" si="15"/>
        <v/>
      </c>
    </row>
    <row r="164" spans="1:12" ht="15.75" customHeight="1" outlineLevel="1">
      <c r="A164" s="54"/>
      <c r="B164" s="76"/>
      <c r="C164" s="26"/>
      <c r="D164" s="27"/>
      <c r="E164" s="113" t="str">
        <f t="shared" si="12"/>
        <v/>
      </c>
      <c r="F164" s="34" t="str">
        <f t="shared" si="13"/>
        <v/>
      </c>
      <c r="G164" s="14"/>
      <c r="H164" s="57"/>
      <c r="I164" s="111"/>
      <c r="J164" s="111"/>
      <c r="K164" s="112" t="str">
        <f t="shared" si="14"/>
        <v/>
      </c>
      <c r="L164" s="112" t="str">
        <f t="shared" si="15"/>
        <v/>
      </c>
    </row>
    <row r="165" spans="1:12" outlineLevel="1">
      <c r="A165" s="54"/>
      <c r="B165" s="8" t="s">
        <v>276</v>
      </c>
      <c r="C165" s="26" t="s">
        <v>3</v>
      </c>
      <c r="D165" s="27"/>
      <c r="E165" s="113" t="str">
        <f t="shared" si="12"/>
        <v/>
      </c>
      <c r="F165" s="34" t="str">
        <f t="shared" si="13"/>
        <v/>
      </c>
      <c r="G165" s="14"/>
      <c r="H165" s="57"/>
      <c r="I165" s="111"/>
      <c r="J165" s="111"/>
      <c r="K165" s="112" t="str">
        <f t="shared" si="14"/>
        <v/>
      </c>
      <c r="L165" s="112" t="str">
        <f t="shared" si="15"/>
        <v/>
      </c>
    </row>
    <row r="166" spans="1:12" outlineLevel="1">
      <c r="A166" s="54"/>
      <c r="B166" s="8" t="s">
        <v>40</v>
      </c>
      <c r="C166" s="26" t="s">
        <v>26</v>
      </c>
      <c r="D166" s="27"/>
      <c r="E166" s="113" t="str">
        <f t="shared" si="12"/>
        <v/>
      </c>
      <c r="F166" s="34" t="str">
        <f t="shared" si="13"/>
        <v/>
      </c>
      <c r="G166" s="14"/>
      <c r="H166" s="57"/>
      <c r="I166" s="111"/>
      <c r="J166" s="111"/>
      <c r="K166" s="112" t="str">
        <f t="shared" si="14"/>
        <v/>
      </c>
      <c r="L166" s="112" t="str">
        <f t="shared" si="15"/>
        <v/>
      </c>
    </row>
    <row r="167" spans="1:12" outlineLevel="1">
      <c r="A167" s="54"/>
      <c r="B167" s="8" t="s">
        <v>280</v>
      </c>
      <c r="C167" s="26" t="s">
        <v>26</v>
      </c>
      <c r="D167" s="27"/>
      <c r="E167" s="113" t="str">
        <f t="shared" si="12"/>
        <v/>
      </c>
      <c r="F167" s="34" t="str">
        <f t="shared" si="13"/>
        <v/>
      </c>
      <c r="G167" s="14"/>
      <c r="H167" s="57"/>
      <c r="I167" s="111"/>
      <c r="J167" s="111"/>
      <c r="K167" s="112" t="str">
        <f t="shared" si="14"/>
        <v/>
      </c>
      <c r="L167" s="112" t="str">
        <f t="shared" si="15"/>
        <v/>
      </c>
    </row>
    <row r="168" spans="1:12" outlineLevel="1">
      <c r="A168" s="54"/>
      <c r="B168" s="8" t="s">
        <v>42</v>
      </c>
      <c r="C168" s="26" t="s">
        <v>26</v>
      </c>
      <c r="D168" s="27"/>
      <c r="E168" s="113" t="str">
        <f t="shared" si="12"/>
        <v/>
      </c>
      <c r="F168" s="34" t="str">
        <f t="shared" si="13"/>
        <v/>
      </c>
      <c r="G168" s="14"/>
      <c r="H168" s="57"/>
      <c r="I168" s="111"/>
      <c r="J168" s="111"/>
      <c r="K168" s="112" t="str">
        <f t="shared" si="14"/>
        <v/>
      </c>
      <c r="L168" s="112" t="str">
        <f t="shared" si="15"/>
        <v/>
      </c>
    </row>
    <row r="169" spans="1:12" outlineLevel="1">
      <c r="A169" s="54"/>
      <c r="B169" s="8" t="s">
        <v>416</v>
      </c>
      <c r="C169" s="26" t="s">
        <v>26</v>
      </c>
      <c r="D169" s="27"/>
      <c r="E169" s="113" t="str">
        <f t="shared" si="12"/>
        <v/>
      </c>
      <c r="F169" s="34" t="str">
        <f t="shared" si="13"/>
        <v/>
      </c>
      <c r="G169" s="14"/>
      <c r="H169" s="57"/>
      <c r="I169" s="111"/>
      <c r="J169" s="111"/>
      <c r="K169" s="112" t="str">
        <f t="shared" si="14"/>
        <v/>
      </c>
      <c r="L169" s="112" t="str">
        <f t="shared" si="15"/>
        <v/>
      </c>
    </row>
    <row r="170" spans="1:12" outlineLevel="1">
      <c r="A170" s="54"/>
      <c r="B170" s="8" t="s">
        <v>43</v>
      </c>
      <c r="C170" s="26" t="s">
        <v>26</v>
      </c>
      <c r="D170" s="27"/>
      <c r="E170" s="113" t="str">
        <f t="shared" si="12"/>
        <v/>
      </c>
      <c r="F170" s="34" t="str">
        <f t="shared" si="13"/>
        <v/>
      </c>
      <c r="G170" s="14"/>
      <c r="H170" s="57"/>
      <c r="I170" s="111"/>
      <c r="J170" s="111"/>
      <c r="K170" s="112" t="str">
        <f t="shared" si="14"/>
        <v/>
      </c>
      <c r="L170" s="112" t="str">
        <f t="shared" si="15"/>
        <v/>
      </c>
    </row>
    <row r="171" spans="1:12" outlineLevel="1">
      <c r="A171" s="54"/>
      <c r="B171" s="8"/>
      <c r="C171" s="26"/>
      <c r="D171" s="27"/>
      <c r="E171" s="113" t="str">
        <f t="shared" si="12"/>
        <v/>
      </c>
      <c r="F171" s="34" t="str">
        <f t="shared" si="13"/>
        <v/>
      </c>
      <c r="G171" s="14"/>
      <c r="H171" s="57"/>
      <c r="I171" s="111"/>
      <c r="J171" s="111"/>
      <c r="K171" s="112" t="str">
        <f t="shared" si="14"/>
        <v/>
      </c>
      <c r="L171" s="112" t="str">
        <f t="shared" si="15"/>
        <v/>
      </c>
    </row>
    <row r="172" spans="1:12">
      <c r="A172" s="54" t="s">
        <v>215</v>
      </c>
      <c r="B172" s="76" t="s">
        <v>299</v>
      </c>
      <c r="C172" s="26"/>
      <c r="D172" s="27"/>
      <c r="E172" s="113" t="str">
        <f t="shared" si="12"/>
        <v/>
      </c>
      <c r="F172" s="34" t="str">
        <f t="shared" si="13"/>
        <v/>
      </c>
      <c r="G172" s="14"/>
      <c r="H172" s="57"/>
      <c r="I172" s="111"/>
      <c r="J172" s="111"/>
      <c r="K172" s="112" t="str">
        <f t="shared" si="14"/>
        <v/>
      </c>
      <c r="L172" s="112" t="str">
        <f t="shared" si="15"/>
        <v/>
      </c>
    </row>
    <row r="173" spans="1:12" ht="15.75" customHeight="1" outlineLevel="1">
      <c r="A173" s="54"/>
      <c r="B173" s="76"/>
      <c r="C173" s="26"/>
      <c r="D173" s="27"/>
      <c r="E173" s="113" t="str">
        <f t="shared" si="12"/>
        <v/>
      </c>
      <c r="F173" s="34" t="str">
        <f t="shared" si="13"/>
        <v/>
      </c>
      <c r="G173" s="14"/>
      <c r="H173" s="57"/>
      <c r="I173" s="111"/>
      <c r="J173" s="111"/>
      <c r="K173" s="112" t="str">
        <f t="shared" si="14"/>
        <v/>
      </c>
      <c r="L173" s="112" t="str">
        <f t="shared" si="15"/>
        <v/>
      </c>
    </row>
    <row r="174" spans="1:12" outlineLevel="1">
      <c r="A174" s="54"/>
      <c r="B174" s="8" t="s">
        <v>276</v>
      </c>
      <c r="C174" s="26" t="s">
        <v>3</v>
      </c>
      <c r="D174" s="27"/>
      <c r="E174" s="113" t="str">
        <f t="shared" si="12"/>
        <v/>
      </c>
      <c r="F174" s="34" t="str">
        <f t="shared" si="13"/>
        <v/>
      </c>
      <c r="G174" s="14"/>
      <c r="H174" s="57"/>
      <c r="I174" s="111"/>
      <c r="J174" s="111"/>
      <c r="K174" s="112" t="str">
        <f t="shared" si="14"/>
        <v/>
      </c>
      <c r="L174" s="112" t="str">
        <f t="shared" si="15"/>
        <v/>
      </c>
    </row>
    <row r="175" spans="1:12" outlineLevel="1">
      <c r="A175" s="54"/>
      <c r="B175" s="8" t="s">
        <v>40</v>
      </c>
      <c r="C175" s="26" t="s">
        <v>26</v>
      </c>
      <c r="D175" s="27"/>
      <c r="E175" s="113" t="str">
        <f t="shared" si="12"/>
        <v/>
      </c>
      <c r="F175" s="34" t="str">
        <f t="shared" si="13"/>
        <v/>
      </c>
      <c r="G175" s="14"/>
      <c r="H175" s="57"/>
      <c r="I175" s="111"/>
      <c r="J175" s="111"/>
      <c r="K175" s="112" t="str">
        <f t="shared" si="14"/>
        <v/>
      </c>
      <c r="L175" s="112" t="str">
        <f t="shared" si="15"/>
        <v/>
      </c>
    </row>
    <row r="176" spans="1:12" outlineLevel="1">
      <c r="A176" s="54"/>
      <c r="B176" s="8" t="s">
        <v>280</v>
      </c>
      <c r="C176" s="26" t="s">
        <v>26</v>
      </c>
      <c r="D176" s="27"/>
      <c r="E176" s="113" t="str">
        <f t="shared" si="12"/>
        <v/>
      </c>
      <c r="F176" s="34" t="str">
        <f t="shared" si="13"/>
        <v/>
      </c>
      <c r="G176" s="14"/>
      <c r="H176" s="57"/>
      <c r="I176" s="111"/>
      <c r="J176" s="111"/>
      <c r="K176" s="112" t="str">
        <f t="shared" si="14"/>
        <v/>
      </c>
      <c r="L176" s="112" t="str">
        <f t="shared" si="15"/>
        <v/>
      </c>
    </row>
    <row r="177" spans="1:12" outlineLevel="1">
      <c r="A177" s="54"/>
      <c r="B177" s="8" t="s">
        <v>42</v>
      </c>
      <c r="C177" s="26" t="s">
        <v>26</v>
      </c>
      <c r="D177" s="27"/>
      <c r="E177" s="113" t="str">
        <f t="shared" si="12"/>
        <v/>
      </c>
      <c r="F177" s="34" t="str">
        <f t="shared" si="13"/>
        <v/>
      </c>
      <c r="G177" s="14"/>
      <c r="H177" s="57"/>
      <c r="I177" s="111"/>
      <c r="J177" s="111"/>
      <c r="K177" s="112" t="str">
        <f t="shared" si="14"/>
        <v/>
      </c>
      <c r="L177" s="112" t="str">
        <f t="shared" si="15"/>
        <v/>
      </c>
    </row>
    <row r="178" spans="1:12" outlineLevel="1">
      <c r="A178" s="54"/>
      <c r="B178" s="8" t="s">
        <v>416</v>
      </c>
      <c r="C178" s="26" t="s">
        <v>26</v>
      </c>
      <c r="D178" s="27"/>
      <c r="E178" s="113" t="str">
        <f t="shared" si="12"/>
        <v/>
      </c>
      <c r="F178" s="34" t="str">
        <f t="shared" si="13"/>
        <v/>
      </c>
      <c r="G178" s="14"/>
      <c r="H178" s="57"/>
      <c r="I178" s="111"/>
      <c r="J178" s="111"/>
      <c r="K178" s="112" t="str">
        <f t="shared" si="14"/>
        <v/>
      </c>
      <c r="L178" s="112" t="str">
        <f t="shared" si="15"/>
        <v/>
      </c>
    </row>
    <row r="179" spans="1:12" outlineLevel="1">
      <c r="A179" s="54"/>
      <c r="B179" s="8" t="s">
        <v>43</v>
      </c>
      <c r="C179" s="26" t="s">
        <v>26</v>
      </c>
      <c r="D179" s="27"/>
      <c r="E179" s="113" t="str">
        <f t="shared" si="12"/>
        <v/>
      </c>
      <c r="F179" s="34" t="str">
        <f t="shared" si="13"/>
        <v/>
      </c>
      <c r="G179" s="14"/>
      <c r="H179" s="57"/>
      <c r="I179" s="111"/>
      <c r="J179" s="111"/>
      <c r="K179" s="112" t="str">
        <f t="shared" si="14"/>
        <v/>
      </c>
      <c r="L179" s="112" t="str">
        <f t="shared" si="15"/>
        <v/>
      </c>
    </row>
    <row r="180" spans="1:12" outlineLevel="1">
      <c r="A180" s="54"/>
      <c r="B180" s="8"/>
      <c r="C180" s="26"/>
      <c r="D180" s="27"/>
      <c r="E180" s="113" t="str">
        <f t="shared" si="12"/>
        <v/>
      </c>
      <c r="F180" s="34" t="str">
        <f t="shared" si="13"/>
        <v/>
      </c>
      <c r="G180" s="14"/>
      <c r="H180" s="57"/>
      <c r="I180" s="111"/>
      <c r="J180" s="111"/>
      <c r="K180" s="112" t="str">
        <f t="shared" si="14"/>
        <v/>
      </c>
      <c r="L180" s="112" t="str">
        <f t="shared" si="15"/>
        <v/>
      </c>
    </row>
    <row r="181" spans="1:12">
      <c r="A181" s="54" t="s">
        <v>227</v>
      </c>
      <c r="B181" s="76" t="s">
        <v>300</v>
      </c>
      <c r="C181" s="26"/>
      <c r="D181" s="27"/>
      <c r="E181" s="113" t="str">
        <f t="shared" si="12"/>
        <v/>
      </c>
      <c r="F181" s="34" t="str">
        <f t="shared" si="13"/>
        <v/>
      </c>
      <c r="G181" s="14"/>
      <c r="H181" s="57"/>
      <c r="I181" s="111"/>
      <c r="J181" s="111"/>
      <c r="K181" s="112" t="str">
        <f t="shared" si="14"/>
        <v/>
      </c>
      <c r="L181" s="112" t="str">
        <f t="shared" si="15"/>
        <v/>
      </c>
    </row>
    <row r="182" spans="1:12" ht="15.75" customHeight="1" outlineLevel="1">
      <c r="A182" s="54"/>
      <c r="B182" s="76"/>
      <c r="C182" s="26"/>
      <c r="D182" s="27"/>
      <c r="E182" s="113" t="str">
        <f t="shared" si="12"/>
        <v/>
      </c>
      <c r="F182" s="34" t="str">
        <f t="shared" si="13"/>
        <v/>
      </c>
      <c r="G182" s="14"/>
      <c r="H182" s="57"/>
      <c r="I182" s="111"/>
      <c r="J182" s="111"/>
      <c r="K182" s="112" t="str">
        <f t="shared" si="14"/>
        <v/>
      </c>
      <c r="L182" s="112" t="str">
        <f t="shared" si="15"/>
        <v/>
      </c>
    </row>
    <row r="183" spans="1:12" outlineLevel="1">
      <c r="A183" s="54"/>
      <c r="B183" s="8" t="s">
        <v>276</v>
      </c>
      <c r="C183" s="26" t="s">
        <v>3</v>
      </c>
      <c r="D183" s="27"/>
      <c r="E183" s="113" t="str">
        <f t="shared" si="12"/>
        <v/>
      </c>
      <c r="F183" s="34" t="str">
        <f t="shared" si="13"/>
        <v/>
      </c>
      <c r="G183" s="14"/>
      <c r="H183" s="57"/>
      <c r="I183" s="111"/>
      <c r="J183" s="111"/>
      <c r="K183" s="112" t="str">
        <f t="shared" si="14"/>
        <v/>
      </c>
      <c r="L183" s="112" t="str">
        <f t="shared" si="15"/>
        <v/>
      </c>
    </row>
    <row r="184" spans="1:12" outlineLevel="1">
      <c r="A184" s="54"/>
      <c r="B184" s="8" t="s">
        <v>40</v>
      </c>
      <c r="C184" s="26" t="s">
        <v>26</v>
      </c>
      <c r="D184" s="27"/>
      <c r="E184" s="113" t="str">
        <f t="shared" si="12"/>
        <v/>
      </c>
      <c r="F184" s="34" t="str">
        <f t="shared" si="13"/>
        <v/>
      </c>
      <c r="G184" s="14"/>
      <c r="H184" s="57"/>
      <c r="I184" s="111"/>
      <c r="J184" s="111"/>
      <c r="K184" s="112" t="str">
        <f t="shared" si="14"/>
        <v/>
      </c>
      <c r="L184" s="112" t="str">
        <f t="shared" si="15"/>
        <v/>
      </c>
    </row>
    <row r="185" spans="1:12" outlineLevel="1">
      <c r="A185" s="54"/>
      <c r="B185" s="8" t="s">
        <v>280</v>
      </c>
      <c r="C185" s="26" t="s">
        <v>26</v>
      </c>
      <c r="D185" s="27"/>
      <c r="E185" s="113" t="str">
        <f t="shared" si="12"/>
        <v/>
      </c>
      <c r="F185" s="34" t="str">
        <f t="shared" si="13"/>
        <v/>
      </c>
      <c r="G185" s="14"/>
      <c r="H185" s="57"/>
      <c r="I185" s="111"/>
      <c r="J185" s="111"/>
      <c r="K185" s="112" t="str">
        <f t="shared" si="14"/>
        <v/>
      </c>
      <c r="L185" s="112" t="str">
        <f t="shared" si="15"/>
        <v/>
      </c>
    </row>
    <row r="186" spans="1:12" outlineLevel="1">
      <c r="A186" s="54"/>
      <c r="B186" s="8" t="s">
        <v>42</v>
      </c>
      <c r="C186" s="26" t="s">
        <v>26</v>
      </c>
      <c r="D186" s="27"/>
      <c r="E186" s="113" t="str">
        <f t="shared" si="12"/>
        <v/>
      </c>
      <c r="F186" s="34" t="str">
        <f t="shared" si="13"/>
        <v/>
      </c>
      <c r="G186" s="14"/>
      <c r="H186" s="57"/>
      <c r="I186" s="111"/>
      <c r="J186" s="111"/>
      <c r="K186" s="112" t="str">
        <f t="shared" si="14"/>
        <v/>
      </c>
      <c r="L186" s="112" t="str">
        <f t="shared" si="15"/>
        <v/>
      </c>
    </row>
    <row r="187" spans="1:12" outlineLevel="1">
      <c r="A187" s="54"/>
      <c r="B187" s="8" t="s">
        <v>416</v>
      </c>
      <c r="C187" s="26" t="s">
        <v>26</v>
      </c>
      <c r="D187" s="27"/>
      <c r="E187" s="113" t="str">
        <f t="shared" si="12"/>
        <v/>
      </c>
      <c r="F187" s="34" t="str">
        <f t="shared" si="13"/>
        <v/>
      </c>
      <c r="G187" s="14"/>
      <c r="H187" s="57"/>
      <c r="I187" s="111"/>
      <c r="J187" s="111"/>
      <c r="K187" s="112" t="str">
        <f t="shared" si="14"/>
        <v/>
      </c>
      <c r="L187" s="112" t="str">
        <f t="shared" si="15"/>
        <v/>
      </c>
    </row>
    <row r="188" spans="1:12" outlineLevel="1">
      <c r="A188" s="54"/>
      <c r="B188" s="8" t="s">
        <v>43</v>
      </c>
      <c r="C188" s="26" t="s">
        <v>26</v>
      </c>
      <c r="D188" s="27"/>
      <c r="E188" s="113" t="str">
        <f t="shared" si="12"/>
        <v/>
      </c>
      <c r="F188" s="34" t="str">
        <f t="shared" si="13"/>
        <v/>
      </c>
      <c r="G188" s="14"/>
      <c r="H188" s="57"/>
      <c r="I188" s="111"/>
      <c r="J188" s="111"/>
      <c r="K188" s="112" t="str">
        <f t="shared" si="14"/>
        <v/>
      </c>
      <c r="L188" s="112" t="str">
        <f t="shared" si="15"/>
        <v/>
      </c>
    </row>
    <row r="189" spans="1:12" ht="17.25" customHeight="1" outlineLevel="1">
      <c r="A189" s="54"/>
      <c r="B189" s="8"/>
      <c r="C189" s="26"/>
      <c r="D189" s="27"/>
      <c r="E189" s="113" t="str">
        <f t="shared" si="12"/>
        <v/>
      </c>
      <c r="F189" s="34" t="str">
        <f t="shared" si="13"/>
        <v/>
      </c>
      <c r="G189" s="14"/>
      <c r="H189" s="57"/>
      <c r="I189" s="111"/>
      <c r="J189" s="111"/>
      <c r="K189" s="112" t="str">
        <f t="shared" si="14"/>
        <v/>
      </c>
      <c r="L189" s="112" t="str">
        <f t="shared" si="15"/>
        <v/>
      </c>
    </row>
    <row r="190" spans="1:12">
      <c r="A190" s="54" t="s">
        <v>228</v>
      </c>
      <c r="B190" s="76" t="s">
        <v>271</v>
      </c>
      <c r="C190" s="26"/>
      <c r="D190" s="27"/>
      <c r="E190" s="113" t="str">
        <f t="shared" si="12"/>
        <v/>
      </c>
      <c r="F190" s="34" t="str">
        <f t="shared" si="13"/>
        <v/>
      </c>
      <c r="G190" s="14"/>
      <c r="H190" s="57"/>
      <c r="I190" s="111"/>
      <c r="J190" s="111"/>
      <c r="K190" s="112" t="str">
        <f t="shared" si="14"/>
        <v/>
      </c>
      <c r="L190" s="112" t="str">
        <f t="shared" si="15"/>
        <v/>
      </c>
    </row>
    <row r="191" spans="1:12" ht="15.75" customHeight="1" outlineLevel="1">
      <c r="A191" s="54"/>
      <c r="B191" s="76"/>
      <c r="C191" s="26"/>
      <c r="D191" s="27"/>
      <c r="E191" s="113" t="str">
        <f t="shared" si="12"/>
        <v/>
      </c>
      <c r="F191" s="34" t="str">
        <f t="shared" si="13"/>
        <v/>
      </c>
      <c r="G191" s="14"/>
      <c r="H191" s="57"/>
      <c r="I191" s="111"/>
      <c r="J191" s="111"/>
      <c r="K191" s="112" t="str">
        <f t="shared" si="14"/>
        <v/>
      </c>
      <c r="L191" s="112" t="str">
        <f t="shared" si="15"/>
        <v/>
      </c>
    </row>
    <row r="192" spans="1:12" outlineLevel="1">
      <c r="A192" s="54"/>
      <c r="B192" s="8" t="s">
        <v>39</v>
      </c>
      <c r="C192" s="26" t="s">
        <v>3</v>
      </c>
      <c r="D192" s="27"/>
      <c r="E192" s="113" t="str">
        <f t="shared" si="12"/>
        <v/>
      </c>
      <c r="F192" s="34" t="str">
        <f t="shared" si="13"/>
        <v/>
      </c>
      <c r="G192" s="14"/>
      <c r="H192" s="57"/>
      <c r="I192" s="111"/>
      <c r="J192" s="111"/>
      <c r="K192" s="112" t="str">
        <f t="shared" si="14"/>
        <v/>
      </c>
      <c r="L192" s="112" t="str">
        <f t="shared" si="15"/>
        <v/>
      </c>
    </row>
    <row r="193" spans="1:12" outlineLevel="1">
      <c r="A193" s="54"/>
      <c r="B193" s="8" t="s">
        <v>40</v>
      </c>
      <c r="C193" s="26" t="s">
        <v>3</v>
      </c>
      <c r="D193" s="27"/>
      <c r="E193" s="113" t="str">
        <f t="shared" si="12"/>
        <v/>
      </c>
      <c r="F193" s="34" t="str">
        <f t="shared" si="13"/>
        <v/>
      </c>
      <c r="G193" s="14"/>
      <c r="H193" s="57"/>
      <c r="I193" s="111"/>
      <c r="J193" s="111"/>
      <c r="K193" s="112" t="str">
        <f t="shared" si="14"/>
        <v/>
      </c>
      <c r="L193" s="112" t="str">
        <f t="shared" si="15"/>
        <v/>
      </c>
    </row>
    <row r="194" spans="1:12" outlineLevel="1">
      <c r="A194" s="54"/>
      <c r="B194" s="8" t="s">
        <v>41</v>
      </c>
      <c r="C194" s="26" t="s">
        <v>26</v>
      </c>
      <c r="D194" s="27"/>
      <c r="E194" s="113" t="str">
        <f t="shared" si="12"/>
        <v/>
      </c>
      <c r="F194" s="34" t="str">
        <f t="shared" si="13"/>
        <v/>
      </c>
      <c r="G194" s="14"/>
      <c r="H194" s="57"/>
      <c r="I194" s="111"/>
      <c r="J194" s="111"/>
      <c r="K194" s="112" t="str">
        <f t="shared" si="14"/>
        <v/>
      </c>
      <c r="L194" s="112" t="str">
        <f t="shared" si="15"/>
        <v/>
      </c>
    </row>
    <row r="195" spans="1:12" outlineLevel="1">
      <c r="A195" s="54"/>
      <c r="B195" s="8" t="s">
        <v>42</v>
      </c>
      <c r="C195" s="26" t="s">
        <v>26</v>
      </c>
      <c r="D195" s="27"/>
      <c r="E195" s="113" t="str">
        <f t="shared" si="12"/>
        <v/>
      </c>
      <c r="F195" s="34" t="str">
        <f t="shared" si="13"/>
        <v/>
      </c>
      <c r="G195" s="14"/>
      <c r="H195" s="57"/>
      <c r="I195" s="111"/>
      <c r="J195" s="111"/>
      <c r="K195" s="112" t="str">
        <f t="shared" si="14"/>
        <v/>
      </c>
      <c r="L195" s="112" t="str">
        <f t="shared" si="15"/>
        <v/>
      </c>
    </row>
    <row r="196" spans="1:12" outlineLevel="1">
      <c r="A196" s="54"/>
      <c r="B196" s="8" t="s">
        <v>416</v>
      </c>
      <c r="C196" s="26" t="s">
        <v>26</v>
      </c>
      <c r="D196" s="27"/>
      <c r="E196" s="113" t="str">
        <f t="shared" si="12"/>
        <v/>
      </c>
      <c r="F196" s="34" t="str">
        <f t="shared" si="13"/>
        <v/>
      </c>
      <c r="G196" s="14"/>
      <c r="H196" s="57"/>
      <c r="I196" s="111"/>
      <c r="J196" s="111"/>
      <c r="K196" s="112" t="str">
        <f t="shared" si="14"/>
        <v/>
      </c>
      <c r="L196" s="112" t="str">
        <f t="shared" si="15"/>
        <v/>
      </c>
    </row>
    <row r="197" spans="1:12" outlineLevel="1">
      <c r="A197" s="54"/>
      <c r="B197" s="8" t="s">
        <v>43</v>
      </c>
      <c r="C197" s="26" t="s">
        <v>26</v>
      </c>
      <c r="D197" s="27"/>
      <c r="E197" s="113" t="str">
        <f t="shared" si="12"/>
        <v/>
      </c>
      <c r="F197" s="34" t="str">
        <f t="shared" si="13"/>
        <v/>
      </c>
      <c r="G197" s="14"/>
      <c r="H197" s="57"/>
      <c r="I197" s="111"/>
      <c r="J197" s="111"/>
      <c r="K197" s="112" t="str">
        <f t="shared" si="14"/>
        <v/>
      </c>
      <c r="L197" s="112" t="str">
        <f t="shared" si="15"/>
        <v/>
      </c>
    </row>
    <row r="198" spans="1:12" outlineLevel="1">
      <c r="A198" s="54"/>
      <c r="B198" s="8" t="s">
        <v>25</v>
      </c>
      <c r="C198" s="26" t="s">
        <v>26</v>
      </c>
      <c r="D198" s="27"/>
      <c r="E198" s="113" t="str">
        <f t="shared" si="12"/>
        <v/>
      </c>
      <c r="F198" s="34" t="str">
        <f t="shared" si="13"/>
        <v/>
      </c>
      <c r="G198" s="14"/>
      <c r="H198" s="57"/>
      <c r="I198" s="111"/>
      <c r="J198" s="111"/>
      <c r="K198" s="112" t="str">
        <f t="shared" si="14"/>
        <v/>
      </c>
      <c r="L198" s="112" t="str">
        <f t="shared" si="15"/>
        <v/>
      </c>
    </row>
    <row r="199" spans="1:12" ht="19.5" customHeight="1" outlineLevel="1">
      <c r="A199" s="54"/>
      <c r="B199" s="8"/>
      <c r="C199" s="26"/>
      <c r="D199" s="27"/>
      <c r="E199" s="113" t="str">
        <f t="shared" si="12"/>
        <v/>
      </c>
      <c r="F199" s="34" t="str">
        <f t="shared" si="13"/>
        <v/>
      </c>
      <c r="G199" s="14"/>
      <c r="H199" s="57"/>
      <c r="I199" s="111"/>
      <c r="J199" s="111"/>
      <c r="K199" s="112" t="str">
        <f t="shared" si="14"/>
        <v/>
      </c>
      <c r="L199" s="112" t="str">
        <f t="shared" si="15"/>
        <v/>
      </c>
    </row>
    <row r="200" spans="1:12">
      <c r="A200" s="54" t="s">
        <v>229</v>
      </c>
      <c r="B200" s="76" t="s">
        <v>446</v>
      </c>
      <c r="C200" s="26"/>
      <c r="D200" s="27"/>
      <c r="E200" s="113" t="str">
        <f t="shared" si="12"/>
        <v/>
      </c>
      <c r="F200" s="34" t="str">
        <f t="shared" si="13"/>
        <v/>
      </c>
      <c r="G200" s="14"/>
      <c r="H200" s="57"/>
      <c r="I200" s="111"/>
      <c r="J200" s="111"/>
      <c r="K200" s="112" t="str">
        <f t="shared" si="14"/>
        <v/>
      </c>
      <c r="L200" s="112" t="str">
        <f t="shared" si="15"/>
        <v/>
      </c>
    </row>
    <row r="201" spans="1:12" ht="19.5" customHeight="1" outlineLevel="1">
      <c r="A201" s="54"/>
      <c r="B201" s="8"/>
      <c r="C201" s="26"/>
      <c r="D201" s="27"/>
      <c r="E201" s="113" t="str">
        <f t="shared" si="12"/>
        <v/>
      </c>
      <c r="F201" s="34" t="str">
        <f t="shared" si="13"/>
        <v/>
      </c>
      <c r="G201" s="14"/>
      <c r="H201" s="57"/>
      <c r="I201" s="111"/>
      <c r="J201" s="111"/>
      <c r="K201" s="112" t="str">
        <f t="shared" si="14"/>
        <v/>
      </c>
      <c r="L201" s="112" t="str">
        <f t="shared" si="15"/>
        <v/>
      </c>
    </row>
    <row r="202" spans="1:12" outlineLevel="1">
      <c r="A202" s="54"/>
      <c r="B202" s="8" t="s">
        <v>276</v>
      </c>
      <c r="C202" s="26" t="s">
        <v>3</v>
      </c>
      <c r="D202" s="27"/>
      <c r="E202" s="113" t="str">
        <f t="shared" ref="E202:E265" si="16">IF(D202="","",(((K202*$L$2)+(L202*$J$2*$J$3))*$L$3)/D202)</f>
        <v/>
      </c>
      <c r="F202" s="34" t="str">
        <f t="shared" ref="F202:F265" si="17">IF(D202="","",D202*E202)</f>
        <v/>
      </c>
      <c r="G202" s="14"/>
      <c r="H202" s="57"/>
      <c r="I202" s="111"/>
      <c r="J202" s="111"/>
      <c r="K202" s="112" t="str">
        <f t="shared" ref="K202:K265" si="18">IF(D202="","",I202*D202)</f>
        <v/>
      </c>
      <c r="L202" s="112" t="str">
        <f t="shared" ref="L202:L265" si="19">IF(D202="","",D202*J202)</f>
        <v/>
      </c>
    </row>
    <row r="203" spans="1:12" outlineLevel="1">
      <c r="A203" s="54"/>
      <c r="B203" s="8" t="s">
        <v>40</v>
      </c>
      <c r="C203" s="26" t="s">
        <v>3</v>
      </c>
      <c r="D203" s="27"/>
      <c r="E203" s="113" t="str">
        <f t="shared" si="16"/>
        <v/>
      </c>
      <c r="F203" s="34" t="str">
        <f t="shared" si="17"/>
        <v/>
      </c>
      <c r="G203" s="14"/>
      <c r="H203" s="57"/>
      <c r="I203" s="111"/>
      <c r="J203" s="111"/>
      <c r="K203" s="112" t="str">
        <f t="shared" si="18"/>
        <v/>
      </c>
      <c r="L203" s="112" t="str">
        <f t="shared" si="19"/>
        <v/>
      </c>
    </row>
    <row r="204" spans="1:12" outlineLevel="1">
      <c r="A204" s="54"/>
      <c r="B204" s="8" t="s">
        <v>41</v>
      </c>
      <c r="C204" s="26" t="s">
        <v>26</v>
      </c>
      <c r="D204" s="27"/>
      <c r="E204" s="113" t="str">
        <f t="shared" si="16"/>
        <v/>
      </c>
      <c r="F204" s="34" t="str">
        <f t="shared" si="17"/>
        <v/>
      </c>
      <c r="G204" s="14"/>
      <c r="H204" s="57"/>
      <c r="I204" s="111"/>
      <c r="J204" s="111"/>
      <c r="K204" s="112" t="str">
        <f t="shared" si="18"/>
        <v/>
      </c>
      <c r="L204" s="112" t="str">
        <f t="shared" si="19"/>
        <v/>
      </c>
    </row>
    <row r="205" spans="1:12" outlineLevel="1">
      <c r="A205" s="54"/>
      <c r="B205" s="8" t="s">
        <v>42</v>
      </c>
      <c r="C205" s="26" t="s">
        <v>26</v>
      </c>
      <c r="D205" s="27"/>
      <c r="E205" s="113" t="str">
        <f t="shared" si="16"/>
        <v/>
      </c>
      <c r="F205" s="34" t="str">
        <f t="shared" si="17"/>
        <v/>
      </c>
      <c r="G205" s="14"/>
      <c r="H205" s="57"/>
      <c r="I205" s="111"/>
      <c r="J205" s="111"/>
      <c r="K205" s="112" t="str">
        <f t="shared" si="18"/>
        <v/>
      </c>
      <c r="L205" s="112" t="str">
        <f t="shared" si="19"/>
        <v/>
      </c>
    </row>
    <row r="206" spans="1:12" outlineLevel="1">
      <c r="A206" s="54"/>
      <c r="B206" s="8" t="s">
        <v>416</v>
      </c>
      <c r="C206" s="26" t="s">
        <v>26</v>
      </c>
      <c r="D206" s="27"/>
      <c r="E206" s="113" t="str">
        <f t="shared" si="16"/>
        <v/>
      </c>
      <c r="F206" s="34" t="str">
        <f t="shared" si="17"/>
        <v/>
      </c>
      <c r="G206" s="14"/>
      <c r="H206" s="57"/>
      <c r="I206" s="111"/>
      <c r="J206" s="111"/>
      <c r="K206" s="112" t="str">
        <f t="shared" si="18"/>
        <v/>
      </c>
      <c r="L206" s="112" t="str">
        <f t="shared" si="19"/>
        <v/>
      </c>
    </row>
    <row r="207" spans="1:12" outlineLevel="1">
      <c r="A207" s="54"/>
      <c r="B207" s="8" t="s">
        <v>43</v>
      </c>
      <c r="C207" s="26" t="s">
        <v>26</v>
      </c>
      <c r="D207" s="27"/>
      <c r="E207" s="113" t="str">
        <f t="shared" si="16"/>
        <v/>
      </c>
      <c r="F207" s="34" t="str">
        <f t="shared" si="17"/>
        <v/>
      </c>
      <c r="G207" s="14"/>
      <c r="H207" s="57"/>
      <c r="I207" s="111"/>
      <c r="J207" s="111"/>
      <c r="K207" s="112" t="str">
        <f t="shared" si="18"/>
        <v/>
      </c>
      <c r="L207" s="112" t="str">
        <f t="shared" si="19"/>
        <v/>
      </c>
    </row>
    <row r="208" spans="1:12" ht="19.5" customHeight="1" outlineLevel="1">
      <c r="A208" s="54"/>
      <c r="B208" s="8"/>
      <c r="C208" s="26"/>
      <c r="D208" s="27"/>
      <c r="E208" s="113" t="str">
        <f t="shared" si="16"/>
        <v/>
      </c>
      <c r="F208" s="34" t="str">
        <f t="shared" si="17"/>
        <v/>
      </c>
      <c r="G208" s="14"/>
      <c r="H208" s="57"/>
      <c r="I208" s="111"/>
      <c r="J208" s="111"/>
      <c r="K208" s="112" t="str">
        <f t="shared" si="18"/>
        <v/>
      </c>
      <c r="L208" s="112" t="str">
        <f t="shared" si="19"/>
        <v/>
      </c>
    </row>
    <row r="209" spans="1:12" ht="31">
      <c r="A209" s="54" t="s">
        <v>230</v>
      </c>
      <c r="B209" s="76" t="s">
        <v>334</v>
      </c>
      <c r="C209" s="26"/>
      <c r="D209" s="27"/>
      <c r="E209" s="113" t="str">
        <f t="shared" si="16"/>
        <v/>
      </c>
      <c r="F209" s="34" t="str">
        <f t="shared" si="17"/>
        <v/>
      </c>
      <c r="G209" s="14"/>
      <c r="H209" s="57"/>
      <c r="I209" s="111"/>
      <c r="J209" s="111"/>
      <c r="K209" s="112" t="str">
        <f t="shared" si="18"/>
        <v/>
      </c>
      <c r="L209" s="112" t="str">
        <f t="shared" si="19"/>
        <v/>
      </c>
    </row>
    <row r="210" spans="1:12" outlineLevel="1">
      <c r="A210" s="54"/>
      <c r="B210" s="8"/>
      <c r="C210" s="26"/>
      <c r="D210" s="27"/>
      <c r="E210" s="113" t="str">
        <f t="shared" si="16"/>
        <v/>
      </c>
      <c r="F210" s="34" t="str">
        <f t="shared" si="17"/>
        <v/>
      </c>
      <c r="G210" s="14"/>
      <c r="H210" s="57"/>
      <c r="I210" s="111"/>
      <c r="J210" s="111"/>
      <c r="K210" s="112" t="str">
        <f t="shared" si="18"/>
        <v/>
      </c>
      <c r="L210" s="112" t="str">
        <f t="shared" si="19"/>
        <v/>
      </c>
    </row>
    <row r="211" spans="1:12" outlineLevel="1">
      <c r="A211" s="54"/>
      <c r="B211" s="8" t="s">
        <v>316</v>
      </c>
      <c r="C211" s="26" t="s">
        <v>4</v>
      </c>
      <c r="D211" s="27"/>
      <c r="E211" s="113" t="str">
        <f t="shared" si="16"/>
        <v/>
      </c>
      <c r="F211" s="34" t="str">
        <f t="shared" si="17"/>
        <v/>
      </c>
      <c r="G211" s="14"/>
      <c r="H211" s="57"/>
      <c r="I211" s="111"/>
      <c r="J211" s="111"/>
      <c r="K211" s="112" t="str">
        <f t="shared" si="18"/>
        <v/>
      </c>
      <c r="L211" s="112" t="str">
        <f t="shared" si="19"/>
        <v/>
      </c>
    </row>
    <row r="212" spans="1:12" outlineLevel="1">
      <c r="A212" s="54"/>
      <c r="B212" s="8" t="s">
        <v>56</v>
      </c>
      <c r="C212" s="26" t="s">
        <v>4</v>
      </c>
      <c r="D212" s="27"/>
      <c r="E212" s="113" t="str">
        <f t="shared" si="16"/>
        <v/>
      </c>
      <c r="F212" s="34" t="str">
        <f t="shared" si="17"/>
        <v/>
      </c>
      <c r="G212" s="14"/>
      <c r="H212" s="57"/>
      <c r="I212" s="111"/>
      <c r="J212" s="111"/>
      <c r="K212" s="112" t="str">
        <f t="shared" si="18"/>
        <v/>
      </c>
      <c r="L212" s="112" t="str">
        <f t="shared" si="19"/>
        <v/>
      </c>
    </row>
    <row r="213" spans="1:12" outlineLevel="1">
      <c r="A213" s="54"/>
      <c r="B213" s="8" t="s">
        <v>199</v>
      </c>
      <c r="C213" s="26" t="s">
        <v>4</v>
      </c>
      <c r="D213" s="27"/>
      <c r="E213" s="113" t="str">
        <f t="shared" si="16"/>
        <v/>
      </c>
      <c r="F213" s="34" t="str">
        <f t="shared" si="17"/>
        <v/>
      </c>
      <c r="G213" s="14"/>
      <c r="H213" s="57"/>
      <c r="I213" s="111"/>
      <c r="J213" s="111"/>
      <c r="K213" s="112" t="str">
        <f t="shared" si="18"/>
        <v/>
      </c>
      <c r="L213" s="112" t="str">
        <f t="shared" si="19"/>
        <v/>
      </c>
    </row>
    <row r="214" spans="1:12" outlineLevel="1">
      <c r="A214" s="54"/>
      <c r="B214" s="8" t="s">
        <v>57</v>
      </c>
      <c r="C214" s="26" t="s">
        <v>4</v>
      </c>
      <c r="D214" s="27"/>
      <c r="E214" s="113" t="str">
        <f t="shared" si="16"/>
        <v/>
      </c>
      <c r="F214" s="34" t="str">
        <f t="shared" si="17"/>
        <v/>
      </c>
      <c r="G214" s="14"/>
      <c r="H214" s="57"/>
      <c r="I214" s="111"/>
      <c r="J214" s="111"/>
      <c r="K214" s="112" t="str">
        <f t="shared" si="18"/>
        <v/>
      </c>
      <c r="L214" s="112" t="str">
        <f t="shared" si="19"/>
        <v/>
      </c>
    </row>
    <row r="215" spans="1:12" outlineLevel="1">
      <c r="A215" s="54"/>
      <c r="B215" s="22" t="s">
        <v>251</v>
      </c>
      <c r="C215" s="46" t="s">
        <v>3</v>
      </c>
      <c r="D215" s="27"/>
      <c r="E215" s="113" t="str">
        <f t="shared" si="16"/>
        <v/>
      </c>
      <c r="F215" s="34" t="str">
        <f t="shared" si="17"/>
        <v/>
      </c>
      <c r="G215" s="14"/>
      <c r="H215" s="57"/>
      <c r="I215" s="111"/>
      <c r="J215" s="111"/>
      <c r="K215" s="112" t="str">
        <f t="shared" si="18"/>
        <v/>
      </c>
      <c r="L215" s="112" t="str">
        <f t="shared" si="19"/>
        <v/>
      </c>
    </row>
    <row r="216" spans="1:12" outlineLevel="1">
      <c r="A216" s="54"/>
      <c r="B216" s="22" t="s">
        <v>252</v>
      </c>
      <c r="C216" s="46" t="s">
        <v>26</v>
      </c>
      <c r="D216" s="27"/>
      <c r="E216" s="113" t="str">
        <f t="shared" si="16"/>
        <v/>
      </c>
      <c r="F216" s="34" t="str">
        <f t="shared" si="17"/>
        <v/>
      </c>
      <c r="G216" s="14"/>
      <c r="H216" s="57"/>
      <c r="I216" s="111"/>
      <c r="J216" s="111"/>
      <c r="K216" s="112" t="str">
        <f t="shared" si="18"/>
        <v/>
      </c>
      <c r="L216" s="112" t="str">
        <f t="shared" si="19"/>
        <v/>
      </c>
    </row>
    <row r="217" spans="1:12" outlineLevel="1">
      <c r="A217" s="54"/>
      <c r="B217" s="8" t="s">
        <v>314</v>
      </c>
      <c r="C217" s="26" t="s">
        <v>4</v>
      </c>
      <c r="D217" s="27"/>
      <c r="E217" s="113" t="str">
        <f t="shared" si="16"/>
        <v/>
      </c>
      <c r="F217" s="34" t="str">
        <f t="shared" si="17"/>
        <v/>
      </c>
      <c r="G217" s="14"/>
      <c r="H217" s="57"/>
      <c r="I217" s="111"/>
      <c r="J217" s="111"/>
      <c r="K217" s="112" t="str">
        <f t="shared" si="18"/>
        <v/>
      </c>
      <c r="L217" s="112" t="str">
        <f t="shared" si="19"/>
        <v/>
      </c>
    </row>
    <row r="218" spans="1:12" outlineLevel="1">
      <c r="A218" s="54"/>
      <c r="B218" s="8" t="s">
        <v>335</v>
      </c>
      <c r="C218" s="26" t="s">
        <v>4</v>
      </c>
      <c r="D218" s="27"/>
      <c r="E218" s="113" t="str">
        <f t="shared" si="16"/>
        <v/>
      </c>
      <c r="F218" s="34" t="str">
        <f t="shared" si="17"/>
        <v/>
      </c>
      <c r="G218" s="14"/>
      <c r="H218" s="57"/>
      <c r="I218" s="111"/>
      <c r="J218" s="111"/>
      <c r="K218" s="112" t="str">
        <f t="shared" si="18"/>
        <v/>
      </c>
      <c r="L218" s="112" t="str">
        <f t="shared" si="19"/>
        <v/>
      </c>
    </row>
    <row r="219" spans="1:12" outlineLevel="1">
      <c r="A219" s="54"/>
      <c r="B219" s="22" t="s">
        <v>418</v>
      </c>
      <c r="C219" s="46" t="s">
        <v>3</v>
      </c>
      <c r="D219" s="27"/>
      <c r="E219" s="113" t="str">
        <f t="shared" si="16"/>
        <v/>
      </c>
      <c r="F219" s="34" t="str">
        <f t="shared" si="17"/>
        <v/>
      </c>
      <c r="G219" s="14"/>
      <c r="H219" s="57"/>
      <c r="I219" s="111"/>
      <c r="J219" s="111"/>
      <c r="K219" s="112" t="str">
        <f t="shared" si="18"/>
        <v/>
      </c>
      <c r="L219" s="112" t="str">
        <f t="shared" si="19"/>
        <v/>
      </c>
    </row>
    <row r="220" spans="1:12" outlineLevel="1">
      <c r="A220" s="54"/>
      <c r="B220" s="8" t="s">
        <v>44</v>
      </c>
      <c r="C220" s="26"/>
      <c r="D220" s="27"/>
      <c r="E220" s="113" t="str">
        <f t="shared" si="16"/>
        <v/>
      </c>
      <c r="F220" s="34" t="str">
        <f t="shared" si="17"/>
        <v/>
      </c>
      <c r="G220" s="14"/>
      <c r="H220" s="57"/>
      <c r="I220" s="111"/>
      <c r="J220" s="111"/>
      <c r="K220" s="112" t="str">
        <f t="shared" si="18"/>
        <v/>
      </c>
      <c r="L220" s="112" t="str">
        <f t="shared" si="19"/>
        <v/>
      </c>
    </row>
    <row r="221" spans="1:12" outlineLevel="1">
      <c r="A221" s="54"/>
      <c r="B221" s="8"/>
      <c r="C221" s="26"/>
      <c r="D221" s="27"/>
      <c r="E221" s="113" t="str">
        <f t="shared" si="16"/>
        <v/>
      </c>
      <c r="F221" s="34" t="str">
        <f t="shared" si="17"/>
        <v/>
      </c>
      <c r="G221" s="14"/>
      <c r="H221" s="57"/>
      <c r="I221" s="111"/>
      <c r="J221" s="111"/>
      <c r="K221" s="112" t="str">
        <f t="shared" si="18"/>
        <v/>
      </c>
      <c r="L221" s="112" t="str">
        <f t="shared" si="19"/>
        <v/>
      </c>
    </row>
    <row r="222" spans="1:12" ht="15" customHeight="1">
      <c r="A222" s="54" t="s">
        <v>231</v>
      </c>
      <c r="B222" s="76" t="s">
        <v>45</v>
      </c>
      <c r="C222" s="26"/>
      <c r="D222" s="27"/>
      <c r="E222" s="113" t="str">
        <f t="shared" si="16"/>
        <v/>
      </c>
      <c r="F222" s="34" t="str">
        <f t="shared" si="17"/>
        <v/>
      </c>
      <c r="G222" s="14"/>
      <c r="H222" s="57"/>
      <c r="I222" s="111"/>
      <c r="J222" s="111"/>
      <c r="K222" s="112" t="str">
        <f t="shared" si="18"/>
        <v/>
      </c>
      <c r="L222" s="112" t="str">
        <f t="shared" si="19"/>
        <v/>
      </c>
    </row>
    <row r="223" spans="1:12" outlineLevel="1">
      <c r="A223" s="54"/>
      <c r="B223" s="8"/>
      <c r="C223" s="26"/>
      <c r="D223" s="27"/>
      <c r="E223" s="113" t="str">
        <f t="shared" si="16"/>
        <v/>
      </c>
      <c r="F223" s="34" t="str">
        <f t="shared" si="17"/>
        <v/>
      </c>
      <c r="G223" s="14"/>
      <c r="H223" s="57"/>
      <c r="I223" s="111"/>
      <c r="J223" s="111"/>
      <c r="K223" s="112" t="str">
        <f t="shared" si="18"/>
        <v/>
      </c>
      <c r="L223" s="112" t="str">
        <f t="shared" si="19"/>
        <v/>
      </c>
    </row>
    <row r="224" spans="1:12" outlineLevel="1">
      <c r="A224" s="54"/>
      <c r="B224" s="8" t="s">
        <v>380</v>
      </c>
      <c r="C224" s="26" t="s">
        <v>5</v>
      </c>
      <c r="D224" s="27"/>
      <c r="E224" s="113" t="str">
        <f t="shared" si="16"/>
        <v/>
      </c>
      <c r="F224" s="34" t="str">
        <f t="shared" si="17"/>
        <v/>
      </c>
      <c r="G224" s="14"/>
      <c r="H224" s="57"/>
      <c r="I224" s="111"/>
      <c r="J224" s="111"/>
      <c r="K224" s="112" t="str">
        <f t="shared" si="18"/>
        <v/>
      </c>
      <c r="L224" s="112" t="str">
        <f t="shared" si="19"/>
        <v/>
      </c>
    </row>
    <row r="225" spans="1:12" outlineLevel="1">
      <c r="A225" s="54"/>
      <c r="B225" s="8" t="s">
        <v>419</v>
      </c>
      <c r="C225" s="26" t="s">
        <v>5</v>
      </c>
      <c r="D225" s="27"/>
      <c r="E225" s="113" t="str">
        <f t="shared" si="16"/>
        <v/>
      </c>
      <c r="F225" s="34" t="str">
        <f t="shared" si="17"/>
        <v/>
      </c>
      <c r="G225" s="14"/>
      <c r="H225" s="57"/>
      <c r="I225" s="111"/>
      <c r="J225" s="111"/>
      <c r="K225" s="112" t="str">
        <f t="shared" si="18"/>
        <v/>
      </c>
      <c r="L225" s="112" t="str">
        <f t="shared" si="19"/>
        <v/>
      </c>
    </row>
    <row r="226" spans="1:12" outlineLevel="1">
      <c r="A226" s="54"/>
      <c r="B226" s="8" t="s">
        <v>160</v>
      </c>
      <c r="C226" s="26" t="s">
        <v>3</v>
      </c>
      <c r="D226" s="27"/>
      <c r="E226" s="113" t="str">
        <f t="shared" si="16"/>
        <v/>
      </c>
      <c r="F226" s="34" t="str">
        <f t="shared" si="17"/>
        <v/>
      </c>
      <c r="G226" s="14"/>
      <c r="H226" s="57"/>
      <c r="I226" s="111"/>
      <c r="J226" s="111"/>
      <c r="K226" s="112" t="str">
        <f t="shared" si="18"/>
        <v/>
      </c>
      <c r="L226" s="112" t="str">
        <f t="shared" si="19"/>
        <v/>
      </c>
    </row>
    <row r="227" spans="1:12" outlineLevel="1">
      <c r="A227" s="54"/>
      <c r="B227" s="8" t="s">
        <v>161</v>
      </c>
      <c r="C227" s="26" t="s">
        <v>3</v>
      </c>
      <c r="D227" s="27"/>
      <c r="E227" s="113" t="str">
        <f t="shared" si="16"/>
        <v/>
      </c>
      <c r="F227" s="34" t="str">
        <f t="shared" si="17"/>
        <v/>
      </c>
      <c r="G227" s="14"/>
      <c r="H227" s="57"/>
      <c r="I227" s="111"/>
      <c r="J227" s="111"/>
      <c r="K227" s="112" t="str">
        <f t="shared" si="18"/>
        <v/>
      </c>
      <c r="L227" s="112" t="str">
        <f t="shared" si="19"/>
        <v/>
      </c>
    </row>
    <row r="228" spans="1:12" outlineLevel="1">
      <c r="A228" s="54"/>
      <c r="B228" s="8"/>
      <c r="C228" s="26"/>
      <c r="D228" s="27"/>
      <c r="E228" s="113" t="str">
        <f t="shared" si="16"/>
        <v/>
      </c>
      <c r="F228" s="34" t="str">
        <f t="shared" si="17"/>
        <v/>
      </c>
      <c r="G228" s="14"/>
      <c r="H228" s="57"/>
      <c r="I228" s="111"/>
      <c r="J228" s="111"/>
      <c r="K228" s="112" t="str">
        <f t="shared" si="18"/>
        <v/>
      </c>
      <c r="L228" s="112" t="str">
        <f t="shared" si="19"/>
        <v/>
      </c>
    </row>
    <row r="229" spans="1:12">
      <c r="A229" s="54" t="s">
        <v>336</v>
      </c>
      <c r="B229" s="76" t="s">
        <v>46</v>
      </c>
      <c r="C229" s="26"/>
      <c r="D229" s="27"/>
      <c r="E229" s="113" t="str">
        <f t="shared" si="16"/>
        <v/>
      </c>
      <c r="F229" s="34" t="str">
        <f t="shared" si="17"/>
        <v/>
      </c>
      <c r="G229" s="14"/>
      <c r="H229" s="57"/>
      <c r="I229" s="111"/>
      <c r="J229" s="111"/>
      <c r="K229" s="112" t="str">
        <f t="shared" si="18"/>
        <v/>
      </c>
      <c r="L229" s="112" t="str">
        <f t="shared" si="19"/>
        <v/>
      </c>
    </row>
    <row r="230" spans="1:12" outlineLevel="1">
      <c r="A230" s="54"/>
      <c r="B230" s="8"/>
      <c r="C230" s="26"/>
      <c r="D230" s="27"/>
      <c r="E230" s="113" t="str">
        <f t="shared" si="16"/>
        <v/>
      </c>
      <c r="F230" s="34" t="str">
        <f t="shared" si="17"/>
        <v/>
      </c>
      <c r="G230" s="14"/>
      <c r="H230" s="57"/>
      <c r="I230" s="111"/>
      <c r="J230" s="111"/>
      <c r="K230" s="112" t="str">
        <f t="shared" si="18"/>
        <v/>
      </c>
      <c r="L230" s="112" t="str">
        <f t="shared" si="19"/>
        <v/>
      </c>
    </row>
    <row r="231" spans="1:12" outlineLevel="1">
      <c r="A231" s="54"/>
      <c r="B231" s="22" t="s">
        <v>47</v>
      </c>
      <c r="C231" s="26" t="s">
        <v>4</v>
      </c>
      <c r="D231" s="27"/>
      <c r="E231" s="113" t="str">
        <f t="shared" si="16"/>
        <v/>
      </c>
      <c r="F231" s="34" t="str">
        <f t="shared" si="17"/>
        <v/>
      </c>
      <c r="G231" s="14"/>
      <c r="H231" s="57"/>
      <c r="I231" s="111"/>
      <c r="J231" s="111"/>
      <c r="K231" s="112" t="str">
        <f t="shared" si="18"/>
        <v/>
      </c>
      <c r="L231" s="112" t="str">
        <f t="shared" si="19"/>
        <v/>
      </c>
    </row>
    <row r="232" spans="1:12" outlineLevel="1">
      <c r="A232" s="54"/>
      <c r="B232" s="22" t="s">
        <v>48</v>
      </c>
      <c r="C232" s="26" t="s">
        <v>4</v>
      </c>
      <c r="D232" s="27"/>
      <c r="E232" s="113" t="str">
        <f t="shared" si="16"/>
        <v/>
      </c>
      <c r="F232" s="34" t="str">
        <f t="shared" si="17"/>
        <v/>
      </c>
      <c r="G232" s="14"/>
      <c r="H232" s="57"/>
      <c r="I232" s="111"/>
      <c r="J232" s="111"/>
      <c r="K232" s="112" t="str">
        <f t="shared" si="18"/>
        <v/>
      </c>
      <c r="L232" s="112" t="str">
        <f t="shared" si="19"/>
        <v/>
      </c>
    </row>
    <row r="233" spans="1:12" outlineLevel="1">
      <c r="A233" s="54"/>
      <c r="B233" s="22" t="s">
        <v>52</v>
      </c>
      <c r="C233" s="26" t="s">
        <v>4</v>
      </c>
      <c r="D233" s="27"/>
      <c r="E233" s="113" t="str">
        <f t="shared" si="16"/>
        <v/>
      </c>
      <c r="F233" s="34" t="str">
        <f t="shared" si="17"/>
        <v/>
      </c>
      <c r="G233" s="14"/>
      <c r="H233" s="57"/>
      <c r="I233" s="111"/>
      <c r="J233" s="111"/>
      <c r="K233" s="112" t="str">
        <f t="shared" si="18"/>
        <v/>
      </c>
      <c r="L233" s="112" t="str">
        <f t="shared" si="19"/>
        <v/>
      </c>
    </row>
    <row r="234" spans="1:12" outlineLevel="1">
      <c r="A234" s="54"/>
      <c r="B234" s="22" t="s">
        <v>420</v>
      </c>
      <c r="C234" s="26" t="s">
        <v>26</v>
      </c>
      <c r="D234" s="27"/>
      <c r="E234" s="113" t="str">
        <f t="shared" si="16"/>
        <v/>
      </c>
      <c r="F234" s="34" t="str">
        <f t="shared" si="17"/>
        <v/>
      </c>
      <c r="G234" s="14"/>
      <c r="H234" s="57"/>
      <c r="I234" s="111"/>
      <c r="J234" s="111"/>
      <c r="K234" s="112" t="str">
        <f t="shared" si="18"/>
        <v/>
      </c>
      <c r="L234" s="112" t="str">
        <f t="shared" si="19"/>
        <v/>
      </c>
    </row>
    <row r="235" spans="1:12" outlineLevel="1">
      <c r="A235" s="54"/>
      <c r="B235" s="22" t="s">
        <v>312</v>
      </c>
      <c r="C235" s="26" t="s">
        <v>4</v>
      </c>
      <c r="D235" s="27"/>
      <c r="E235" s="113" t="str">
        <f t="shared" si="16"/>
        <v/>
      </c>
      <c r="F235" s="34" t="str">
        <f t="shared" si="17"/>
        <v/>
      </c>
      <c r="G235" s="14"/>
      <c r="H235" s="57"/>
      <c r="I235" s="111"/>
      <c r="J235" s="111"/>
      <c r="K235" s="112" t="str">
        <f t="shared" si="18"/>
        <v/>
      </c>
      <c r="L235" s="112" t="str">
        <f t="shared" si="19"/>
        <v/>
      </c>
    </row>
    <row r="236" spans="1:12" outlineLevel="1">
      <c r="A236" s="54"/>
      <c r="B236" s="22" t="s">
        <v>49</v>
      </c>
      <c r="C236" s="26" t="s">
        <v>26</v>
      </c>
      <c r="D236" s="27"/>
      <c r="E236" s="113" t="str">
        <f t="shared" si="16"/>
        <v/>
      </c>
      <c r="F236" s="34" t="str">
        <f t="shared" si="17"/>
        <v/>
      </c>
      <c r="G236" s="14"/>
      <c r="H236" s="57"/>
      <c r="I236" s="111"/>
      <c r="J236" s="111"/>
      <c r="K236" s="112" t="str">
        <f t="shared" si="18"/>
        <v/>
      </c>
      <c r="L236" s="112" t="str">
        <f t="shared" si="19"/>
        <v/>
      </c>
    </row>
    <row r="237" spans="1:12" outlineLevel="1">
      <c r="A237" s="54"/>
      <c r="B237" s="22" t="s">
        <v>50</v>
      </c>
      <c r="C237" s="26" t="s">
        <v>26</v>
      </c>
      <c r="D237" s="27"/>
      <c r="E237" s="113" t="str">
        <f t="shared" si="16"/>
        <v/>
      </c>
      <c r="F237" s="34" t="str">
        <f t="shared" si="17"/>
        <v/>
      </c>
      <c r="G237" s="14"/>
      <c r="H237" s="57"/>
      <c r="I237" s="111"/>
      <c r="J237" s="111"/>
      <c r="K237" s="112" t="str">
        <f t="shared" si="18"/>
        <v/>
      </c>
      <c r="L237" s="112" t="str">
        <f t="shared" si="19"/>
        <v/>
      </c>
    </row>
    <row r="238" spans="1:12" outlineLevel="1">
      <c r="A238" s="54"/>
      <c r="B238" s="22" t="s">
        <v>51</v>
      </c>
      <c r="C238" s="26" t="s">
        <v>26</v>
      </c>
      <c r="D238" s="27"/>
      <c r="E238" s="113" t="str">
        <f t="shared" si="16"/>
        <v/>
      </c>
      <c r="F238" s="34" t="str">
        <f t="shared" si="17"/>
        <v/>
      </c>
      <c r="G238" s="14"/>
      <c r="H238" s="57"/>
      <c r="I238" s="111"/>
      <c r="J238" s="111"/>
      <c r="K238" s="112" t="str">
        <f t="shared" si="18"/>
        <v/>
      </c>
      <c r="L238" s="112" t="str">
        <f t="shared" si="19"/>
        <v/>
      </c>
    </row>
    <row r="239" spans="1:12" outlineLevel="1">
      <c r="A239" s="54"/>
      <c r="B239" s="22" t="s">
        <v>63</v>
      </c>
      <c r="C239" s="26" t="s">
        <v>26</v>
      </c>
      <c r="D239" s="27"/>
      <c r="E239" s="113" t="str">
        <f t="shared" si="16"/>
        <v/>
      </c>
      <c r="F239" s="34" t="str">
        <f t="shared" si="17"/>
        <v/>
      </c>
      <c r="G239" s="14"/>
      <c r="H239" s="57"/>
      <c r="I239" s="111"/>
      <c r="J239" s="111"/>
      <c r="K239" s="112" t="str">
        <f t="shared" si="18"/>
        <v/>
      </c>
      <c r="L239" s="112" t="str">
        <f t="shared" si="19"/>
        <v/>
      </c>
    </row>
    <row r="240" spans="1:12" outlineLevel="1">
      <c r="A240" s="54"/>
      <c r="B240" s="8"/>
      <c r="C240" s="26"/>
      <c r="D240" s="27"/>
      <c r="E240" s="113" t="str">
        <f t="shared" si="16"/>
        <v/>
      </c>
      <c r="F240" s="34" t="str">
        <f t="shared" si="17"/>
        <v/>
      </c>
      <c r="G240" s="14"/>
      <c r="H240" s="57"/>
      <c r="I240" s="111"/>
      <c r="J240" s="111"/>
      <c r="K240" s="112" t="str">
        <f t="shared" si="18"/>
        <v/>
      </c>
      <c r="L240" s="112" t="str">
        <f t="shared" si="19"/>
        <v/>
      </c>
    </row>
    <row r="241" spans="1:12">
      <c r="A241" s="54" t="s">
        <v>338</v>
      </c>
      <c r="B241" s="76" t="s">
        <v>54</v>
      </c>
      <c r="C241" s="26"/>
      <c r="D241" s="27"/>
      <c r="E241" s="113" t="str">
        <f t="shared" si="16"/>
        <v/>
      </c>
      <c r="F241" s="34" t="str">
        <f t="shared" si="17"/>
        <v/>
      </c>
      <c r="G241" s="14"/>
      <c r="H241" s="57"/>
      <c r="I241" s="111"/>
      <c r="J241" s="111"/>
      <c r="K241" s="112" t="str">
        <f t="shared" si="18"/>
        <v/>
      </c>
      <c r="L241" s="112" t="str">
        <f t="shared" si="19"/>
        <v/>
      </c>
    </row>
    <row r="242" spans="1:12" outlineLevel="1">
      <c r="A242" s="54"/>
      <c r="B242" s="8"/>
      <c r="C242" s="26"/>
      <c r="D242" s="27"/>
      <c r="E242" s="113" t="str">
        <f t="shared" si="16"/>
        <v/>
      </c>
      <c r="F242" s="34" t="str">
        <f t="shared" si="17"/>
        <v/>
      </c>
      <c r="G242" s="14"/>
      <c r="H242" s="57"/>
      <c r="I242" s="111"/>
      <c r="J242" s="111"/>
      <c r="K242" s="112" t="str">
        <f t="shared" si="18"/>
        <v/>
      </c>
      <c r="L242" s="112" t="str">
        <f t="shared" si="19"/>
        <v/>
      </c>
    </row>
    <row r="243" spans="1:12" outlineLevel="1">
      <c r="A243" s="54"/>
      <c r="B243" s="22" t="s">
        <v>53</v>
      </c>
      <c r="C243" s="26" t="s">
        <v>5</v>
      </c>
      <c r="D243" s="27"/>
      <c r="E243" s="113" t="str">
        <f t="shared" si="16"/>
        <v/>
      </c>
      <c r="F243" s="34" t="str">
        <f t="shared" si="17"/>
        <v/>
      </c>
      <c r="G243" s="14"/>
      <c r="H243" s="57"/>
      <c r="I243" s="111"/>
      <c r="J243" s="111"/>
      <c r="K243" s="112" t="str">
        <f t="shared" si="18"/>
        <v/>
      </c>
      <c r="L243" s="112" t="str">
        <f t="shared" si="19"/>
        <v/>
      </c>
    </row>
    <row r="244" spans="1:12" outlineLevel="1">
      <c r="A244" s="54"/>
      <c r="B244" s="22" t="s">
        <v>375</v>
      </c>
      <c r="C244" s="26" t="s">
        <v>5</v>
      </c>
      <c r="D244" s="27"/>
      <c r="E244" s="113" t="str">
        <f t="shared" si="16"/>
        <v/>
      </c>
      <c r="F244" s="34" t="str">
        <f t="shared" si="17"/>
        <v/>
      </c>
      <c r="G244" s="14"/>
      <c r="H244" s="57"/>
      <c r="I244" s="111"/>
      <c r="J244" s="111"/>
      <c r="K244" s="112" t="str">
        <f t="shared" si="18"/>
        <v/>
      </c>
      <c r="L244" s="112" t="str">
        <f t="shared" si="19"/>
        <v/>
      </c>
    </row>
    <row r="245" spans="1:12" outlineLevel="1">
      <c r="A245" s="54"/>
      <c r="B245" s="22" t="s">
        <v>376</v>
      </c>
      <c r="C245" s="26" t="s">
        <v>5</v>
      </c>
      <c r="D245" s="27"/>
      <c r="E245" s="113" t="str">
        <f t="shared" si="16"/>
        <v/>
      </c>
      <c r="F245" s="34" t="str">
        <f t="shared" si="17"/>
        <v/>
      </c>
      <c r="G245" s="14"/>
      <c r="H245" s="57"/>
      <c r="I245" s="111"/>
      <c r="J245" s="111"/>
      <c r="K245" s="112" t="str">
        <f t="shared" si="18"/>
        <v/>
      </c>
      <c r="L245" s="112" t="str">
        <f t="shared" si="19"/>
        <v/>
      </c>
    </row>
    <row r="246" spans="1:12" outlineLevel="1">
      <c r="A246" s="54"/>
      <c r="B246" s="22" t="s">
        <v>421</v>
      </c>
      <c r="C246" s="26" t="s">
        <v>5</v>
      </c>
      <c r="D246" s="27"/>
      <c r="E246" s="113" t="str">
        <f t="shared" si="16"/>
        <v/>
      </c>
      <c r="F246" s="34" t="str">
        <f t="shared" si="17"/>
        <v/>
      </c>
      <c r="G246" s="14"/>
      <c r="H246" s="57"/>
      <c r="I246" s="111"/>
      <c r="J246" s="111"/>
      <c r="K246" s="112" t="str">
        <f t="shared" si="18"/>
        <v/>
      </c>
      <c r="L246" s="112" t="str">
        <f t="shared" si="19"/>
        <v/>
      </c>
    </row>
    <row r="247" spans="1:12" outlineLevel="1">
      <c r="A247" s="54"/>
      <c r="B247" s="22" t="s">
        <v>422</v>
      </c>
      <c r="C247" s="26" t="s">
        <v>5</v>
      </c>
      <c r="D247" s="27"/>
      <c r="E247" s="113" t="str">
        <f t="shared" si="16"/>
        <v/>
      </c>
      <c r="F247" s="34" t="str">
        <f t="shared" si="17"/>
        <v/>
      </c>
      <c r="G247" s="14"/>
      <c r="H247" s="57"/>
      <c r="I247" s="111"/>
      <c r="J247" s="111"/>
      <c r="K247" s="112" t="str">
        <f t="shared" si="18"/>
        <v/>
      </c>
      <c r="L247" s="112" t="str">
        <f t="shared" si="19"/>
        <v/>
      </c>
    </row>
    <row r="248" spans="1:12" outlineLevel="1">
      <c r="A248" s="54"/>
      <c r="B248" s="22" t="s">
        <v>59</v>
      </c>
      <c r="C248" s="26" t="s">
        <v>5</v>
      </c>
      <c r="D248" s="27"/>
      <c r="E248" s="113" t="str">
        <f t="shared" si="16"/>
        <v/>
      </c>
      <c r="F248" s="34" t="str">
        <f t="shared" si="17"/>
        <v/>
      </c>
      <c r="G248" s="14"/>
      <c r="H248" s="57"/>
      <c r="I248" s="111"/>
      <c r="J248" s="111"/>
      <c r="K248" s="112" t="str">
        <f t="shared" si="18"/>
        <v/>
      </c>
      <c r="L248" s="112" t="str">
        <f t="shared" si="19"/>
        <v/>
      </c>
    </row>
    <row r="249" spans="1:12" outlineLevel="1">
      <c r="A249" s="54"/>
      <c r="B249" s="22" t="s">
        <v>283</v>
      </c>
      <c r="C249" s="26" t="s">
        <v>5</v>
      </c>
      <c r="D249" s="27"/>
      <c r="E249" s="113" t="str">
        <f t="shared" si="16"/>
        <v/>
      </c>
      <c r="F249" s="34" t="str">
        <f t="shared" si="17"/>
        <v/>
      </c>
      <c r="G249" s="14"/>
      <c r="H249" s="57"/>
      <c r="I249" s="111"/>
      <c r="J249" s="111"/>
      <c r="K249" s="112" t="str">
        <f t="shared" si="18"/>
        <v/>
      </c>
      <c r="L249" s="112" t="str">
        <f t="shared" si="19"/>
        <v/>
      </c>
    </row>
    <row r="250" spans="1:12" outlineLevel="1">
      <c r="A250" s="54"/>
      <c r="B250" s="22" t="s">
        <v>337</v>
      </c>
      <c r="C250" s="26" t="s">
        <v>5</v>
      </c>
      <c r="D250" s="27"/>
      <c r="E250" s="113" t="str">
        <f t="shared" si="16"/>
        <v/>
      </c>
      <c r="F250" s="34" t="str">
        <f t="shared" si="17"/>
        <v/>
      </c>
      <c r="G250" s="14"/>
      <c r="H250" s="57"/>
      <c r="I250" s="111"/>
      <c r="J250" s="111"/>
      <c r="K250" s="112" t="str">
        <f t="shared" si="18"/>
        <v/>
      </c>
      <c r="L250" s="112" t="str">
        <f t="shared" si="19"/>
        <v/>
      </c>
    </row>
    <row r="251" spans="1:12" outlineLevel="1">
      <c r="A251" s="54"/>
      <c r="B251" s="22" t="s">
        <v>284</v>
      </c>
      <c r="C251" s="26" t="s">
        <v>5</v>
      </c>
      <c r="D251" s="27"/>
      <c r="E251" s="113" t="str">
        <f t="shared" si="16"/>
        <v/>
      </c>
      <c r="F251" s="34" t="str">
        <f t="shared" si="17"/>
        <v/>
      </c>
      <c r="G251" s="14"/>
      <c r="H251" s="57"/>
      <c r="I251" s="111"/>
      <c r="J251" s="111"/>
      <c r="K251" s="112" t="str">
        <f t="shared" si="18"/>
        <v/>
      </c>
      <c r="L251" s="112" t="str">
        <f t="shared" si="19"/>
        <v/>
      </c>
    </row>
    <row r="252" spans="1:12" outlineLevel="1">
      <c r="A252" s="54"/>
      <c r="B252" s="22" t="s">
        <v>58</v>
      </c>
      <c r="C252" s="26" t="s">
        <v>5</v>
      </c>
      <c r="D252" s="27"/>
      <c r="E252" s="113" t="str">
        <f t="shared" si="16"/>
        <v/>
      </c>
      <c r="F252" s="34" t="str">
        <f t="shared" si="17"/>
        <v/>
      </c>
      <c r="G252" s="14"/>
      <c r="H252" s="57"/>
      <c r="I252" s="111"/>
      <c r="J252" s="111"/>
      <c r="K252" s="112" t="str">
        <f t="shared" si="18"/>
        <v/>
      </c>
      <c r="L252" s="112" t="str">
        <f t="shared" si="19"/>
        <v/>
      </c>
    </row>
    <row r="253" spans="1:12" outlineLevel="1">
      <c r="A253" s="54"/>
      <c r="B253" s="8"/>
      <c r="C253" s="26"/>
      <c r="D253" s="27"/>
      <c r="E253" s="113" t="str">
        <f t="shared" si="16"/>
        <v/>
      </c>
      <c r="F253" s="34" t="str">
        <f t="shared" si="17"/>
        <v/>
      </c>
      <c r="G253" s="14"/>
      <c r="H253" s="57"/>
      <c r="I253" s="111"/>
      <c r="J253" s="111"/>
      <c r="K253" s="112" t="str">
        <f t="shared" si="18"/>
        <v/>
      </c>
      <c r="L253" s="112" t="str">
        <f t="shared" si="19"/>
        <v/>
      </c>
    </row>
    <row r="254" spans="1:12">
      <c r="A254" s="54" t="s">
        <v>339</v>
      </c>
      <c r="B254" s="76" t="s">
        <v>55</v>
      </c>
      <c r="C254" s="26"/>
      <c r="D254" s="27"/>
      <c r="E254" s="113" t="str">
        <f t="shared" si="16"/>
        <v/>
      </c>
      <c r="F254" s="34" t="str">
        <f t="shared" si="17"/>
        <v/>
      </c>
      <c r="G254" s="14"/>
      <c r="H254" s="57"/>
      <c r="I254" s="111"/>
      <c r="J254" s="111"/>
      <c r="K254" s="112" t="str">
        <f t="shared" si="18"/>
        <v/>
      </c>
      <c r="L254" s="112" t="str">
        <f t="shared" si="19"/>
        <v/>
      </c>
    </row>
    <row r="255" spans="1:12" outlineLevel="1">
      <c r="A255" s="54"/>
      <c r="B255" s="8"/>
      <c r="C255" s="26"/>
      <c r="D255" s="27"/>
      <c r="E255" s="113" t="str">
        <f t="shared" si="16"/>
        <v/>
      </c>
      <c r="F255" s="34" t="str">
        <f t="shared" si="17"/>
        <v/>
      </c>
      <c r="G255" s="14"/>
      <c r="H255" s="57"/>
      <c r="I255" s="111"/>
      <c r="J255" s="111"/>
      <c r="K255" s="112" t="str">
        <f t="shared" si="18"/>
        <v/>
      </c>
      <c r="L255" s="112" t="str">
        <f t="shared" si="19"/>
        <v/>
      </c>
    </row>
    <row r="256" spans="1:12" outlineLevel="1">
      <c r="A256" s="54"/>
      <c r="B256" s="22" t="s">
        <v>384</v>
      </c>
      <c r="C256" s="26" t="s">
        <v>5</v>
      </c>
      <c r="D256" s="27"/>
      <c r="E256" s="113" t="str">
        <f t="shared" si="16"/>
        <v/>
      </c>
      <c r="F256" s="34" t="str">
        <f t="shared" si="17"/>
        <v/>
      </c>
      <c r="G256" s="14"/>
      <c r="H256" s="57"/>
      <c r="I256" s="111"/>
      <c r="J256" s="111"/>
      <c r="K256" s="112" t="str">
        <f t="shared" si="18"/>
        <v/>
      </c>
      <c r="L256" s="112" t="str">
        <f t="shared" si="19"/>
        <v/>
      </c>
    </row>
    <row r="257" spans="1:12" outlineLevel="1">
      <c r="A257" s="54"/>
      <c r="B257" s="22" t="s">
        <v>371</v>
      </c>
      <c r="C257" s="26" t="s">
        <v>5</v>
      </c>
      <c r="D257" s="27"/>
      <c r="E257" s="113" t="str">
        <f t="shared" si="16"/>
        <v/>
      </c>
      <c r="F257" s="34" t="str">
        <f t="shared" si="17"/>
        <v/>
      </c>
      <c r="G257" s="14"/>
      <c r="H257" s="57"/>
      <c r="I257" s="111"/>
      <c r="J257" s="111"/>
      <c r="K257" s="112" t="str">
        <f t="shared" si="18"/>
        <v/>
      </c>
      <c r="L257" s="112" t="str">
        <f t="shared" si="19"/>
        <v/>
      </c>
    </row>
    <row r="258" spans="1:12" outlineLevel="1">
      <c r="A258" s="54"/>
      <c r="B258" s="22" t="s">
        <v>385</v>
      </c>
      <c r="C258" s="26" t="s">
        <v>5</v>
      </c>
      <c r="D258" s="27"/>
      <c r="E258" s="113" t="str">
        <f t="shared" si="16"/>
        <v/>
      </c>
      <c r="F258" s="34" t="str">
        <f t="shared" si="17"/>
        <v/>
      </c>
      <c r="G258" s="14"/>
      <c r="H258" s="57"/>
      <c r="I258" s="111"/>
      <c r="J258" s="111"/>
      <c r="K258" s="112" t="str">
        <f t="shared" si="18"/>
        <v/>
      </c>
      <c r="L258" s="112" t="str">
        <f t="shared" si="19"/>
        <v/>
      </c>
    </row>
    <row r="259" spans="1:12" outlineLevel="1">
      <c r="A259" s="54"/>
      <c r="B259" s="22" t="s">
        <v>386</v>
      </c>
      <c r="C259" s="26" t="s">
        <v>5</v>
      </c>
      <c r="D259" s="27"/>
      <c r="E259" s="113" t="str">
        <f t="shared" si="16"/>
        <v/>
      </c>
      <c r="F259" s="34" t="str">
        <f t="shared" si="17"/>
        <v/>
      </c>
      <c r="G259" s="14"/>
      <c r="H259" s="57"/>
      <c r="I259" s="111"/>
      <c r="J259" s="111"/>
      <c r="K259" s="112" t="str">
        <f t="shared" si="18"/>
        <v/>
      </c>
      <c r="L259" s="112" t="str">
        <f t="shared" si="19"/>
        <v/>
      </c>
    </row>
    <row r="260" spans="1:12" outlineLevel="1">
      <c r="A260" s="54"/>
      <c r="B260" s="22" t="s">
        <v>387</v>
      </c>
      <c r="C260" s="26" t="s">
        <v>5</v>
      </c>
      <c r="D260" s="27"/>
      <c r="E260" s="113" t="str">
        <f t="shared" si="16"/>
        <v/>
      </c>
      <c r="F260" s="34" t="str">
        <f t="shared" si="17"/>
        <v/>
      </c>
      <c r="G260" s="14"/>
      <c r="H260" s="57"/>
      <c r="I260" s="111"/>
      <c r="J260" s="111"/>
      <c r="K260" s="112" t="str">
        <f t="shared" si="18"/>
        <v/>
      </c>
      <c r="L260" s="112" t="str">
        <f t="shared" si="19"/>
        <v/>
      </c>
    </row>
    <row r="261" spans="1:12" outlineLevel="1">
      <c r="A261" s="54"/>
      <c r="B261" s="22" t="s">
        <v>388</v>
      </c>
      <c r="C261" s="26" t="s">
        <v>5</v>
      </c>
      <c r="D261" s="27"/>
      <c r="E261" s="113" t="str">
        <f t="shared" si="16"/>
        <v/>
      </c>
      <c r="F261" s="34" t="str">
        <f t="shared" si="17"/>
        <v/>
      </c>
      <c r="G261" s="14"/>
      <c r="H261" s="57"/>
      <c r="I261" s="111"/>
      <c r="J261" s="111"/>
      <c r="K261" s="112" t="str">
        <f t="shared" si="18"/>
        <v/>
      </c>
      <c r="L261" s="112" t="str">
        <f t="shared" si="19"/>
        <v/>
      </c>
    </row>
    <row r="262" spans="1:12" outlineLevel="1">
      <c r="A262" s="54"/>
      <c r="B262" s="22" t="s">
        <v>389</v>
      </c>
      <c r="C262" s="26" t="s">
        <v>5</v>
      </c>
      <c r="D262" s="27"/>
      <c r="E262" s="113" t="str">
        <f t="shared" si="16"/>
        <v/>
      </c>
      <c r="F262" s="34" t="str">
        <f t="shared" si="17"/>
        <v/>
      </c>
      <c r="G262" s="14"/>
      <c r="H262" s="57"/>
      <c r="I262" s="111"/>
      <c r="J262" s="111"/>
      <c r="K262" s="112" t="str">
        <f t="shared" si="18"/>
        <v/>
      </c>
      <c r="L262" s="112" t="str">
        <f t="shared" si="19"/>
        <v/>
      </c>
    </row>
    <row r="263" spans="1:12" outlineLevel="1">
      <c r="A263" s="54"/>
      <c r="B263" s="22" t="s">
        <v>390</v>
      </c>
      <c r="C263" s="26" t="s">
        <v>5</v>
      </c>
      <c r="D263" s="27"/>
      <c r="E263" s="113" t="str">
        <f t="shared" si="16"/>
        <v/>
      </c>
      <c r="F263" s="34" t="str">
        <f t="shared" si="17"/>
        <v/>
      </c>
      <c r="G263" s="14"/>
      <c r="H263" s="57"/>
      <c r="I263" s="111"/>
      <c r="J263" s="111"/>
      <c r="K263" s="112" t="str">
        <f t="shared" si="18"/>
        <v/>
      </c>
      <c r="L263" s="112" t="str">
        <f t="shared" si="19"/>
        <v/>
      </c>
    </row>
    <row r="264" spans="1:12" outlineLevel="1">
      <c r="A264" s="54"/>
      <c r="B264" s="22" t="s">
        <v>273</v>
      </c>
      <c r="C264" s="26" t="s">
        <v>5</v>
      </c>
      <c r="D264" s="27"/>
      <c r="E264" s="113" t="str">
        <f t="shared" si="16"/>
        <v/>
      </c>
      <c r="F264" s="34" t="str">
        <f t="shared" si="17"/>
        <v/>
      </c>
      <c r="G264" s="14"/>
      <c r="H264" s="57"/>
      <c r="I264" s="111"/>
      <c r="J264" s="111"/>
      <c r="K264" s="112" t="str">
        <f t="shared" si="18"/>
        <v/>
      </c>
      <c r="L264" s="112" t="str">
        <f t="shared" si="19"/>
        <v/>
      </c>
    </row>
    <row r="265" spans="1:12" outlineLevel="1">
      <c r="A265" s="54"/>
      <c r="B265" s="22" t="s">
        <v>391</v>
      </c>
      <c r="C265" s="26" t="s">
        <v>5</v>
      </c>
      <c r="D265" s="27"/>
      <c r="E265" s="113" t="str">
        <f t="shared" si="16"/>
        <v/>
      </c>
      <c r="F265" s="34" t="str">
        <f t="shared" si="17"/>
        <v/>
      </c>
      <c r="G265" s="14"/>
      <c r="H265" s="57"/>
      <c r="I265" s="111"/>
      <c r="J265" s="111"/>
      <c r="K265" s="112" t="str">
        <f t="shared" si="18"/>
        <v/>
      </c>
      <c r="L265" s="112" t="str">
        <f t="shared" si="19"/>
        <v/>
      </c>
    </row>
    <row r="266" spans="1:12" outlineLevel="1">
      <c r="A266" s="54"/>
      <c r="B266" s="22" t="s">
        <v>392</v>
      </c>
      <c r="C266" s="26" t="s">
        <v>5</v>
      </c>
      <c r="D266" s="27"/>
      <c r="E266" s="113" t="str">
        <f t="shared" ref="E266:E329" si="20">IF(D266="","",(((K266*$L$2)+(L266*$J$2*$J$3))*$L$3)/D266)</f>
        <v/>
      </c>
      <c r="F266" s="34" t="str">
        <f t="shared" ref="F266:F329" si="21">IF(D266="","",D266*E266)</f>
        <v/>
      </c>
      <c r="G266" s="14"/>
      <c r="H266" s="57"/>
      <c r="I266" s="111"/>
      <c r="J266" s="111"/>
      <c r="K266" s="112" t="str">
        <f t="shared" ref="K266:K329" si="22">IF(D266="","",I266*D266)</f>
        <v/>
      </c>
      <c r="L266" s="112" t="str">
        <f t="shared" ref="L266:L329" si="23">IF(D266="","",D266*J266)</f>
        <v/>
      </c>
    </row>
    <row r="267" spans="1:12" outlineLevel="1">
      <c r="A267" s="54"/>
      <c r="B267" s="22" t="s">
        <v>393</v>
      </c>
      <c r="C267" s="26" t="s">
        <v>5</v>
      </c>
      <c r="D267" s="27"/>
      <c r="E267" s="113" t="str">
        <f t="shared" si="20"/>
        <v/>
      </c>
      <c r="F267" s="34" t="str">
        <f t="shared" si="21"/>
        <v/>
      </c>
      <c r="G267" s="14"/>
      <c r="H267" s="57"/>
      <c r="I267" s="111"/>
      <c r="J267" s="111"/>
      <c r="K267" s="112" t="str">
        <f t="shared" si="22"/>
        <v/>
      </c>
      <c r="L267" s="112" t="str">
        <f t="shared" si="23"/>
        <v/>
      </c>
    </row>
    <row r="268" spans="1:12" outlineLevel="1">
      <c r="A268" s="54"/>
      <c r="B268" s="22" t="s">
        <v>394</v>
      </c>
      <c r="C268" s="26" t="s">
        <v>5</v>
      </c>
      <c r="D268" s="27"/>
      <c r="E268" s="113" t="str">
        <f t="shared" si="20"/>
        <v/>
      </c>
      <c r="F268" s="34" t="str">
        <f t="shared" si="21"/>
        <v/>
      </c>
      <c r="G268" s="14"/>
      <c r="H268" s="57"/>
      <c r="I268" s="111"/>
      <c r="J268" s="111"/>
      <c r="K268" s="112" t="str">
        <f t="shared" si="22"/>
        <v/>
      </c>
      <c r="L268" s="112" t="str">
        <f t="shared" si="23"/>
        <v/>
      </c>
    </row>
    <row r="269" spans="1:12" outlineLevel="1">
      <c r="A269" s="54"/>
      <c r="B269" s="22" t="s">
        <v>274</v>
      </c>
      <c r="C269" s="26" t="s">
        <v>5</v>
      </c>
      <c r="D269" s="27"/>
      <c r="E269" s="113" t="str">
        <f t="shared" si="20"/>
        <v/>
      </c>
      <c r="F269" s="34" t="str">
        <f t="shared" si="21"/>
        <v/>
      </c>
      <c r="G269" s="14"/>
      <c r="H269" s="57"/>
      <c r="I269" s="111"/>
      <c r="J269" s="111"/>
      <c r="K269" s="112" t="str">
        <f t="shared" si="22"/>
        <v/>
      </c>
      <c r="L269" s="112" t="str">
        <f t="shared" si="23"/>
        <v/>
      </c>
    </row>
    <row r="270" spans="1:12" outlineLevel="1">
      <c r="A270" s="54"/>
      <c r="B270" s="22" t="s">
        <v>275</v>
      </c>
      <c r="C270" s="26" t="s">
        <v>5</v>
      </c>
      <c r="D270" s="27"/>
      <c r="E270" s="113" t="str">
        <f t="shared" si="20"/>
        <v/>
      </c>
      <c r="F270" s="34" t="str">
        <f t="shared" si="21"/>
        <v/>
      </c>
      <c r="G270" s="14"/>
      <c r="H270" s="57"/>
      <c r="I270" s="111"/>
      <c r="J270" s="111"/>
      <c r="K270" s="112" t="str">
        <f t="shared" si="22"/>
        <v/>
      </c>
      <c r="L270" s="112" t="str">
        <f t="shared" si="23"/>
        <v/>
      </c>
    </row>
    <row r="271" spans="1:12" outlineLevel="1">
      <c r="A271" s="54"/>
      <c r="B271" s="22" t="s">
        <v>395</v>
      </c>
      <c r="C271" s="26" t="s">
        <v>5</v>
      </c>
      <c r="D271" s="27"/>
      <c r="E271" s="113" t="str">
        <f t="shared" si="20"/>
        <v/>
      </c>
      <c r="F271" s="34" t="str">
        <f t="shared" si="21"/>
        <v/>
      </c>
      <c r="G271" s="14"/>
      <c r="H271" s="57"/>
      <c r="I271" s="111"/>
      <c r="J271" s="111"/>
      <c r="K271" s="112" t="str">
        <f t="shared" si="22"/>
        <v/>
      </c>
      <c r="L271" s="112" t="str">
        <f t="shared" si="23"/>
        <v/>
      </c>
    </row>
    <row r="272" spans="1:12" outlineLevel="1">
      <c r="A272" s="54"/>
      <c r="B272" s="22" t="s">
        <v>396</v>
      </c>
      <c r="C272" s="26" t="s">
        <v>5</v>
      </c>
      <c r="D272" s="27"/>
      <c r="E272" s="113" t="str">
        <f t="shared" si="20"/>
        <v/>
      </c>
      <c r="F272" s="34" t="str">
        <f t="shared" si="21"/>
        <v/>
      </c>
      <c r="G272" s="14"/>
      <c r="H272" s="57"/>
      <c r="I272" s="111"/>
      <c r="J272" s="111"/>
      <c r="K272" s="112" t="str">
        <f t="shared" si="22"/>
        <v/>
      </c>
      <c r="L272" s="112" t="str">
        <f t="shared" si="23"/>
        <v/>
      </c>
    </row>
    <row r="273" spans="1:12" outlineLevel="1">
      <c r="A273" s="54"/>
      <c r="B273" s="22" t="s">
        <v>282</v>
      </c>
      <c r="C273" s="26" t="s">
        <v>5</v>
      </c>
      <c r="D273" s="27"/>
      <c r="E273" s="113" t="str">
        <f t="shared" si="20"/>
        <v/>
      </c>
      <c r="F273" s="34" t="str">
        <f t="shared" si="21"/>
        <v/>
      </c>
      <c r="G273" s="14"/>
      <c r="H273" s="57"/>
      <c r="I273" s="111"/>
      <c r="J273" s="111"/>
      <c r="K273" s="112" t="str">
        <f t="shared" si="22"/>
        <v/>
      </c>
      <c r="L273" s="112" t="str">
        <f t="shared" si="23"/>
        <v/>
      </c>
    </row>
    <row r="274" spans="1:12" outlineLevel="1">
      <c r="A274" s="54"/>
      <c r="B274" s="22" t="s">
        <v>397</v>
      </c>
      <c r="C274" s="26" t="s">
        <v>5</v>
      </c>
      <c r="D274" s="27"/>
      <c r="E274" s="113" t="str">
        <f t="shared" si="20"/>
        <v/>
      </c>
      <c r="F274" s="34" t="str">
        <f t="shared" si="21"/>
        <v/>
      </c>
      <c r="G274" s="14"/>
      <c r="H274" s="57"/>
      <c r="I274" s="111"/>
      <c r="J274" s="111"/>
      <c r="K274" s="112" t="str">
        <f t="shared" si="22"/>
        <v/>
      </c>
      <c r="L274" s="112" t="str">
        <f t="shared" si="23"/>
        <v/>
      </c>
    </row>
    <row r="275" spans="1:12" outlineLevel="1">
      <c r="A275" s="54"/>
      <c r="B275" s="22" t="s">
        <v>399</v>
      </c>
      <c r="C275" s="26" t="s">
        <v>5</v>
      </c>
      <c r="D275" s="27"/>
      <c r="E275" s="113" t="str">
        <f t="shared" si="20"/>
        <v/>
      </c>
      <c r="F275" s="34" t="str">
        <f t="shared" si="21"/>
        <v/>
      </c>
      <c r="G275" s="14"/>
      <c r="H275" s="57"/>
      <c r="I275" s="111"/>
      <c r="J275" s="111"/>
      <c r="K275" s="112" t="str">
        <f t="shared" si="22"/>
        <v/>
      </c>
      <c r="L275" s="112" t="str">
        <f t="shared" si="23"/>
        <v/>
      </c>
    </row>
    <row r="276" spans="1:12" outlineLevel="1">
      <c r="A276" s="54"/>
      <c r="B276" s="22" t="s">
        <v>398</v>
      </c>
      <c r="C276" s="26" t="s">
        <v>5</v>
      </c>
      <c r="D276" s="27"/>
      <c r="E276" s="113" t="str">
        <f t="shared" si="20"/>
        <v/>
      </c>
      <c r="F276" s="34" t="str">
        <f t="shared" si="21"/>
        <v/>
      </c>
      <c r="G276" s="14"/>
      <c r="H276" s="57"/>
      <c r="I276" s="111"/>
      <c r="J276" s="111"/>
      <c r="K276" s="112" t="str">
        <f t="shared" si="22"/>
        <v/>
      </c>
      <c r="L276" s="112" t="str">
        <f t="shared" si="23"/>
        <v/>
      </c>
    </row>
    <row r="277" spans="1:12" outlineLevel="1">
      <c r="A277" s="54"/>
      <c r="B277" s="8" t="s">
        <v>423</v>
      </c>
      <c r="C277" s="26" t="s">
        <v>26</v>
      </c>
      <c r="D277" s="27"/>
      <c r="E277" s="113" t="str">
        <f t="shared" si="20"/>
        <v/>
      </c>
      <c r="F277" s="34" t="str">
        <f t="shared" si="21"/>
        <v/>
      </c>
      <c r="G277" s="14"/>
      <c r="H277" s="57"/>
      <c r="I277" s="111"/>
      <c r="J277" s="111"/>
      <c r="K277" s="112" t="str">
        <f t="shared" si="22"/>
        <v/>
      </c>
      <c r="L277" s="112" t="str">
        <f t="shared" si="23"/>
        <v/>
      </c>
    </row>
    <row r="278" spans="1:12" outlineLevel="1">
      <c r="A278" s="54"/>
      <c r="B278" s="8"/>
      <c r="C278" s="26"/>
      <c r="D278" s="27"/>
      <c r="E278" s="113" t="str">
        <f t="shared" si="20"/>
        <v/>
      </c>
      <c r="F278" s="34" t="str">
        <f t="shared" si="21"/>
        <v/>
      </c>
      <c r="G278" s="14"/>
      <c r="H278" s="57"/>
      <c r="I278" s="111"/>
      <c r="J278" s="111"/>
      <c r="K278" s="112" t="str">
        <f t="shared" si="22"/>
        <v/>
      </c>
      <c r="L278" s="112" t="str">
        <f t="shared" si="23"/>
        <v/>
      </c>
    </row>
    <row r="279" spans="1:12">
      <c r="A279" s="54" t="s">
        <v>340</v>
      </c>
      <c r="B279" s="76" t="s">
        <v>60</v>
      </c>
      <c r="C279" s="26"/>
      <c r="D279" s="27"/>
      <c r="E279" s="113" t="str">
        <f t="shared" si="20"/>
        <v/>
      </c>
      <c r="F279" s="34" t="str">
        <f t="shared" si="21"/>
        <v/>
      </c>
      <c r="G279" s="14"/>
      <c r="H279" s="57"/>
      <c r="I279" s="111"/>
      <c r="J279" s="111"/>
      <c r="K279" s="112" t="str">
        <f t="shared" si="22"/>
        <v/>
      </c>
      <c r="L279" s="112" t="str">
        <f t="shared" si="23"/>
        <v/>
      </c>
    </row>
    <row r="280" spans="1:12" outlineLevel="1">
      <c r="A280" s="54"/>
      <c r="B280" s="8"/>
      <c r="C280" s="26"/>
      <c r="D280" s="27"/>
      <c r="E280" s="113" t="str">
        <f t="shared" si="20"/>
        <v/>
      </c>
      <c r="F280" s="34" t="str">
        <f t="shared" si="21"/>
        <v/>
      </c>
      <c r="G280" s="14"/>
      <c r="H280" s="57"/>
      <c r="I280" s="111"/>
      <c r="J280" s="111"/>
      <c r="K280" s="112" t="str">
        <f t="shared" si="22"/>
        <v/>
      </c>
      <c r="L280" s="112" t="str">
        <f t="shared" si="23"/>
        <v/>
      </c>
    </row>
    <row r="281" spans="1:12" outlineLevel="1">
      <c r="A281" s="54"/>
      <c r="B281" s="22" t="s">
        <v>424</v>
      </c>
      <c r="C281" s="26" t="s">
        <v>5</v>
      </c>
      <c r="D281" s="27"/>
      <c r="E281" s="113" t="str">
        <f t="shared" si="20"/>
        <v/>
      </c>
      <c r="F281" s="34" t="str">
        <f t="shared" si="21"/>
        <v/>
      </c>
      <c r="G281" s="14"/>
      <c r="H281" s="57"/>
      <c r="I281" s="111"/>
      <c r="J281" s="111"/>
      <c r="K281" s="112" t="str">
        <f t="shared" si="22"/>
        <v/>
      </c>
      <c r="L281" s="112" t="str">
        <f t="shared" si="23"/>
        <v/>
      </c>
    </row>
    <row r="282" spans="1:12" outlineLevel="1">
      <c r="A282" s="54"/>
      <c r="B282" s="22" t="s">
        <v>425</v>
      </c>
      <c r="C282" s="26" t="s">
        <v>5</v>
      </c>
      <c r="D282" s="27"/>
      <c r="E282" s="113" t="str">
        <f t="shared" si="20"/>
        <v/>
      </c>
      <c r="F282" s="34" t="str">
        <f t="shared" si="21"/>
        <v/>
      </c>
      <c r="G282" s="14"/>
      <c r="H282" s="57"/>
      <c r="I282" s="111"/>
      <c r="J282" s="111"/>
      <c r="K282" s="112" t="str">
        <f t="shared" si="22"/>
        <v/>
      </c>
      <c r="L282" s="112" t="str">
        <f t="shared" si="23"/>
        <v/>
      </c>
    </row>
    <row r="283" spans="1:12" outlineLevel="1">
      <c r="A283" s="54"/>
      <c r="B283" s="22" t="s">
        <v>426</v>
      </c>
      <c r="C283" s="26" t="s">
        <v>5</v>
      </c>
      <c r="D283" s="27"/>
      <c r="E283" s="113" t="str">
        <f t="shared" si="20"/>
        <v/>
      </c>
      <c r="F283" s="34" t="str">
        <f t="shared" si="21"/>
        <v/>
      </c>
      <c r="G283" s="14"/>
      <c r="H283" s="57"/>
      <c r="I283" s="111"/>
      <c r="J283" s="111"/>
      <c r="K283" s="112" t="str">
        <f t="shared" si="22"/>
        <v/>
      </c>
      <c r="L283" s="112" t="str">
        <f t="shared" si="23"/>
        <v/>
      </c>
    </row>
    <row r="284" spans="1:12" outlineLevel="1">
      <c r="A284" s="54"/>
      <c r="B284" s="8" t="s">
        <v>372</v>
      </c>
      <c r="C284" s="26" t="s">
        <v>26</v>
      </c>
      <c r="D284" s="27"/>
      <c r="E284" s="113" t="str">
        <f t="shared" si="20"/>
        <v/>
      </c>
      <c r="F284" s="34" t="str">
        <f t="shared" si="21"/>
        <v/>
      </c>
      <c r="G284" s="14"/>
      <c r="H284" s="57"/>
      <c r="I284" s="111"/>
      <c r="J284" s="111"/>
      <c r="K284" s="112" t="str">
        <f t="shared" si="22"/>
        <v/>
      </c>
      <c r="L284" s="112" t="str">
        <f t="shared" si="23"/>
        <v/>
      </c>
    </row>
    <row r="285" spans="1:12" outlineLevel="1">
      <c r="A285" s="54"/>
      <c r="B285" s="22" t="s">
        <v>61</v>
      </c>
      <c r="C285" s="26" t="s">
        <v>26</v>
      </c>
      <c r="D285" s="27"/>
      <c r="E285" s="113" t="str">
        <f t="shared" si="20"/>
        <v/>
      </c>
      <c r="F285" s="34" t="str">
        <f t="shared" si="21"/>
        <v/>
      </c>
      <c r="G285" s="14"/>
      <c r="H285" s="57"/>
      <c r="I285" s="111"/>
      <c r="J285" s="111"/>
      <c r="K285" s="112" t="str">
        <f t="shared" si="22"/>
        <v/>
      </c>
      <c r="L285" s="112" t="str">
        <f t="shared" si="23"/>
        <v/>
      </c>
    </row>
    <row r="286" spans="1:12" outlineLevel="1">
      <c r="A286" s="54"/>
      <c r="B286" s="22" t="s">
        <v>427</v>
      </c>
      <c r="C286" s="26" t="s">
        <v>5</v>
      </c>
      <c r="D286" s="27"/>
      <c r="E286" s="113" t="str">
        <f t="shared" si="20"/>
        <v/>
      </c>
      <c r="F286" s="34" t="str">
        <f t="shared" si="21"/>
        <v/>
      </c>
      <c r="G286" s="14"/>
      <c r="H286" s="57"/>
      <c r="I286" s="111"/>
      <c r="J286" s="111"/>
      <c r="K286" s="112" t="str">
        <f t="shared" si="22"/>
        <v/>
      </c>
      <c r="L286" s="112" t="str">
        <f t="shared" si="23"/>
        <v/>
      </c>
    </row>
    <row r="287" spans="1:12" outlineLevel="1">
      <c r="A287" s="54"/>
      <c r="B287" s="22" t="s">
        <v>62</v>
      </c>
      <c r="C287" s="26" t="s">
        <v>5</v>
      </c>
      <c r="D287" s="27"/>
      <c r="E287" s="113" t="str">
        <f t="shared" si="20"/>
        <v/>
      </c>
      <c r="F287" s="34" t="str">
        <f t="shared" si="21"/>
        <v/>
      </c>
      <c r="G287" s="14"/>
      <c r="H287" s="57"/>
      <c r="I287" s="111"/>
      <c r="J287" s="111"/>
      <c r="K287" s="112" t="str">
        <f t="shared" si="22"/>
        <v/>
      </c>
      <c r="L287" s="112" t="str">
        <f t="shared" si="23"/>
        <v/>
      </c>
    </row>
    <row r="288" spans="1:12" outlineLevel="1">
      <c r="A288" s="54"/>
      <c r="B288" s="22" t="s">
        <v>64</v>
      </c>
      <c r="C288" s="26" t="s">
        <v>5</v>
      </c>
      <c r="D288" s="27"/>
      <c r="E288" s="113" t="str">
        <f t="shared" si="20"/>
        <v/>
      </c>
      <c r="F288" s="34" t="str">
        <f t="shared" si="21"/>
        <v/>
      </c>
      <c r="G288" s="14"/>
      <c r="H288" s="57"/>
      <c r="I288" s="111"/>
      <c r="J288" s="111"/>
      <c r="K288" s="112" t="str">
        <f t="shared" si="22"/>
        <v/>
      </c>
      <c r="L288" s="112" t="str">
        <f t="shared" si="23"/>
        <v/>
      </c>
    </row>
    <row r="289" spans="1:12" outlineLevel="1">
      <c r="A289" s="54"/>
      <c r="B289" s="8"/>
      <c r="C289" s="26"/>
      <c r="D289" s="27"/>
      <c r="E289" s="113" t="str">
        <f t="shared" si="20"/>
        <v/>
      </c>
      <c r="F289" s="34" t="str">
        <f t="shared" si="21"/>
        <v/>
      </c>
      <c r="G289" s="14"/>
      <c r="H289" s="57"/>
      <c r="I289" s="111"/>
      <c r="J289" s="111"/>
      <c r="K289" s="112" t="str">
        <f t="shared" si="22"/>
        <v/>
      </c>
      <c r="L289" s="112" t="str">
        <f t="shared" si="23"/>
        <v/>
      </c>
    </row>
    <row r="290" spans="1:12">
      <c r="A290" s="54" t="s">
        <v>341</v>
      </c>
      <c r="B290" s="76" t="s">
        <v>254</v>
      </c>
      <c r="C290" s="26"/>
      <c r="D290" s="27"/>
      <c r="E290" s="113" t="str">
        <f t="shared" si="20"/>
        <v/>
      </c>
      <c r="F290" s="34" t="str">
        <f t="shared" si="21"/>
        <v/>
      </c>
      <c r="G290" s="14"/>
      <c r="H290" s="57"/>
      <c r="I290" s="111"/>
      <c r="J290" s="111"/>
      <c r="K290" s="112" t="str">
        <f t="shared" si="22"/>
        <v/>
      </c>
      <c r="L290" s="112" t="str">
        <f t="shared" si="23"/>
        <v/>
      </c>
    </row>
    <row r="291" spans="1:12" outlineLevel="1">
      <c r="A291" s="54"/>
      <c r="B291" s="8"/>
      <c r="C291" s="26"/>
      <c r="D291" s="27"/>
      <c r="E291" s="113" t="str">
        <f t="shared" si="20"/>
        <v/>
      </c>
      <c r="F291" s="34" t="str">
        <f t="shared" si="21"/>
        <v/>
      </c>
      <c r="G291" s="14"/>
      <c r="H291" s="57"/>
      <c r="I291" s="111"/>
      <c r="J291" s="111"/>
      <c r="K291" s="112" t="str">
        <f t="shared" si="22"/>
        <v/>
      </c>
      <c r="L291" s="112" t="str">
        <f t="shared" si="23"/>
        <v/>
      </c>
    </row>
    <row r="292" spans="1:12" outlineLevel="1">
      <c r="A292" s="54"/>
      <c r="B292" s="33" t="s">
        <v>70</v>
      </c>
      <c r="C292" s="26" t="s">
        <v>3</v>
      </c>
      <c r="D292" s="27"/>
      <c r="E292" s="113" t="str">
        <f t="shared" si="20"/>
        <v/>
      </c>
      <c r="F292" s="34" t="str">
        <f t="shared" si="21"/>
        <v/>
      </c>
      <c r="G292" s="14"/>
      <c r="H292" s="57"/>
      <c r="I292" s="111"/>
      <c r="J292" s="111"/>
      <c r="K292" s="112" t="str">
        <f t="shared" si="22"/>
        <v/>
      </c>
      <c r="L292" s="112" t="str">
        <f t="shared" si="23"/>
        <v/>
      </c>
    </row>
    <row r="293" spans="1:12" outlineLevel="1">
      <c r="A293" s="54"/>
      <c r="B293" s="8" t="s">
        <v>71</v>
      </c>
      <c r="C293" s="26" t="s">
        <v>5</v>
      </c>
      <c r="D293" s="27"/>
      <c r="E293" s="113" t="str">
        <f t="shared" si="20"/>
        <v/>
      </c>
      <c r="F293" s="34" t="str">
        <f t="shared" si="21"/>
        <v/>
      </c>
      <c r="G293" s="14"/>
      <c r="H293" s="57"/>
      <c r="I293" s="111"/>
      <c r="J293" s="111"/>
      <c r="K293" s="112" t="str">
        <f t="shared" si="22"/>
        <v/>
      </c>
      <c r="L293" s="112" t="str">
        <f t="shared" si="23"/>
        <v/>
      </c>
    </row>
    <row r="294" spans="1:12" outlineLevel="1">
      <c r="A294" s="54"/>
      <c r="B294" s="8" t="s">
        <v>72</v>
      </c>
      <c r="C294" s="26" t="s">
        <v>5</v>
      </c>
      <c r="D294" s="27"/>
      <c r="E294" s="113" t="str">
        <f t="shared" si="20"/>
        <v/>
      </c>
      <c r="F294" s="34" t="str">
        <f t="shared" si="21"/>
        <v/>
      </c>
      <c r="G294" s="14"/>
      <c r="H294" s="57"/>
      <c r="I294" s="111"/>
      <c r="J294" s="111"/>
      <c r="K294" s="112" t="str">
        <f t="shared" si="22"/>
        <v/>
      </c>
      <c r="L294" s="112" t="str">
        <f t="shared" si="23"/>
        <v/>
      </c>
    </row>
    <row r="295" spans="1:12" outlineLevel="1">
      <c r="A295" s="54"/>
      <c r="B295" s="8" t="s">
        <v>73</v>
      </c>
      <c r="C295" s="26" t="s">
        <v>26</v>
      </c>
      <c r="D295" s="27"/>
      <c r="E295" s="113" t="str">
        <f t="shared" si="20"/>
        <v/>
      </c>
      <c r="F295" s="34" t="str">
        <f t="shared" si="21"/>
        <v/>
      </c>
      <c r="G295" s="14"/>
      <c r="H295" s="57"/>
      <c r="I295" s="111"/>
      <c r="J295" s="111"/>
      <c r="K295" s="112" t="str">
        <f t="shared" si="22"/>
        <v/>
      </c>
      <c r="L295" s="112" t="str">
        <f t="shared" si="23"/>
        <v/>
      </c>
    </row>
    <row r="296" spans="1:12" outlineLevel="1">
      <c r="A296" s="54"/>
      <c r="B296" s="8" t="s">
        <v>74</v>
      </c>
      <c r="C296" s="26" t="s">
        <v>4</v>
      </c>
      <c r="D296" s="27"/>
      <c r="E296" s="113" t="str">
        <f t="shared" si="20"/>
        <v/>
      </c>
      <c r="F296" s="34" t="str">
        <f t="shared" si="21"/>
        <v/>
      </c>
      <c r="G296" s="14"/>
      <c r="H296" s="57"/>
      <c r="I296" s="111"/>
      <c r="J296" s="111"/>
      <c r="K296" s="112" t="str">
        <f t="shared" si="22"/>
        <v/>
      </c>
      <c r="L296" s="112" t="str">
        <f t="shared" si="23"/>
        <v/>
      </c>
    </row>
    <row r="297" spans="1:12" outlineLevel="1">
      <c r="A297" s="54"/>
      <c r="B297" s="8" t="s">
        <v>75</v>
      </c>
      <c r="C297" s="26" t="s">
        <v>4</v>
      </c>
      <c r="D297" s="27"/>
      <c r="E297" s="113" t="str">
        <f t="shared" si="20"/>
        <v/>
      </c>
      <c r="F297" s="34" t="str">
        <f t="shared" si="21"/>
        <v/>
      </c>
      <c r="G297" s="14"/>
      <c r="H297" s="57"/>
      <c r="I297" s="111"/>
      <c r="J297" s="111"/>
      <c r="K297" s="112" t="str">
        <f t="shared" si="22"/>
        <v/>
      </c>
      <c r="L297" s="112" t="str">
        <f t="shared" si="23"/>
        <v/>
      </c>
    </row>
    <row r="298" spans="1:12" outlineLevel="1">
      <c r="A298" s="54"/>
      <c r="B298" s="8"/>
      <c r="C298" s="26"/>
      <c r="D298" s="27"/>
      <c r="E298" s="113" t="str">
        <f t="shared" si="20"/>
        <v/>
      </c>
      <c r="F298" s="34" t="str">
        <f t="shared" si="21"/>
        <v/>
      </c>
      <c r="G298" s="14"/>
      <c r="H298" s="57"/>
      <c r="I298" s="111"/>
      <c r="J298" s="111"/>
      <c r="K298" s="112" t="str">
        <f t="shared" si="22"/>
        <v/>
      </c>
      <c r="L298" s="112" t="str">
        <f t="shared" si="23"/>
        <v/>
      </c>
    </row>
    <row r="299" spans="1:12" outlineLevel="1">
      <c r="A299" s="54"/>
      <c r="B299" s="33" t="s">
        <v>65</v>
      </c>
      <c r="C299" s="26" t="s">
        <v>3</v>
      </c>
      <c r="D299" s="27"/>
      <c r="E299" s="113" t="str">
        <f t="shared" si="20"/>
        <v/>
      </c>
      <c r="F299" s="34" t="str">
        <f t="shared" si="21"/>
        <v/>
      </c>
      <c r="G299" s="14"/>
      <c r="H299" s="57"/>
      <c r="I299" s="111"/>
      <c r="J299" s="111"/>
      <c r="K299" s="112" t="str">
        <f t="shared" si="22"/>
        <v/>
      </c>
      <c r="L299" s="112" t="str">
        <f t="shared" si="23"/>
        <v/>
      </c>
    </row>
    <row r="300" spans="1:12" outlineLevel="1">
      <c r="A300" s="54"/>
      <c r="B300" s="8" t="s">
        <v>66</v>
      </c>
      <c r="C300" s="26" t="s">
        <v>5</v>
      </c>
      <c r="D300" s="27"/>
      <c r="E300" s="113" t="str">
        <f t="shared" si="20"/>
        <v/>
      </c>
      <c r="F300" s="34" t="str">
        <f t="shared" si="21"/>
        <v/>
      </c>
      <c r="G300" s="14"/>
      <c r="H300" s="57"/>
      <c r="I300" s="111"/>
      <c r="J300" s="111"/>
      <c r="K300" s="112" t="str">
        <f t="shared" si="22"/>
        <v/>
      </c>
      <c r="L300" s="112" t="str">
        <f t="shared" si="23"/>
        <v/>
      </c>
    </row>
    <row r="301" spans="1:12" outlineLevel="1">
      <c r="A301" s="54"/>
      <c r="B301" s="8" t="s">
        <v>67</v>
      </c>
      <c r="C301" s="26" t="s">
        <v>5</v>
      </c>
      <c r="D301" s="27"/>
      <c r="E301" s="113" t="str">
        <f t="shared" si="20"/>
        <v/>
      </c>
      <c r="F301" s="34" t="str">
        <f t="shared" si="21"/>
        <v/>
      </c>
      <c r="G301" s="14"/>
      <c r="H301" s="57"/>
      <c r="I301" s="111"/>
      <c r="J301" s="111"/>
      <c r="K301" s="112" t="str">
        <f t="shared" si="22"/>
        <v/>
      </c>
      <c r="L301" s="112" t="str">
        <f t="shared" si="23"/>
        <v/>
      </c>
    </row>
    <row r="302" spans="1:12" outlineLevel="1">
      <c r="A302" s="54"/>
      <c r="B302" s="8" t="s">
        <v>68</v>
      </c>
      <c r="C302" s="26" t="s">
        <v>4</v>
      </c>
      <c r="D302" s="27"/>
      <c r="E302" s="113" t="str">
        <f t="shared" si="20"/>
        <v/>
      </c>
      <c r="F302" s="34" t="str">
        <f t="shared" si="21"/>
        <v/>
      </c>
      <c r="G302" s="14"/>
      <c r="H302" s="57"/>
      <c r="I302" s="111"/>
      <c r="J302" s="111"/>
      <c r="K302" s="112" t="str">
        <f t="shared" si="22"/>
        <v/>
      </c>
      <c r="L302" s="112" t="str">
        <f t="shared" si="23"/>
        <v/>
      </c>
    </row>
    <row r="303" spans="1:12" outlineLevel="1">
      <c r="A303" s="54"/>
      <c r="B303" s="8" t="s">
        <v>69</v>
      </c>
      <c r="C303" s="26" t="s">
        <v>3</v>
      </c>
      <c r="D303" s="27"/>
      <c r="E303" s="113" t="str">
        <f t="shared" si="20"/>
        <v/>
      </c>
      <c r="F303" s="34" t="str">
        <f t="shared" si="21"/>
        <v/>
      </c>
      <c r="G303" s="14"/>
      <c r="H303" s="57"/>
      <c r="I303" s="111"/>
      <c r="J303" s="111"/>
      <c r="K303" s="112" t="str">
        <f t="shared" si="22"/>
        <v/>
      </c>
      <c r="L303" s="112" t="str">
        <f t="shared" si="23"/>
        <v/>
      </c>
    </row>
    <row r="304" spans="1:12" outlineLevel="1">
      <c r="A304" s="54"/>
      <c r="B304" s="8" t="s">
        <v>381</v>
      </c>
      <c r="C304" s="26" t="s">
        <v>4</v>
      </c>
      <c r="D304" s="27"/>
      <c r="E304" s="113" t="str">
        <f t="shared" si="20"/>
        <v/>
      </c>
      <c r="F304" s="34" t="str">
        <f t="shared" si="21"/>
        <v/>
      </c>
      <c r="G304" s="14"/>
      <c r="H304" s="57"/>
      <c r="I304" s="111"/>
      <c r="J304" s="111"/>
      <c r="K304" s="112" t="str">
        <f t="shared" si="22"/>
        <v/>
      </c>
      <c r="L304" s="112" t="str">
        <f t="shared" si="23"/>
        <v/>
      </c>
    </row>
    <row r="305" spans="1:12" outlineLevel="1">
      <c r="A305" s="54"/>
      <c r="B305" s="8"/>
      <c r="C305" s="26"/>
      <c r="D305" s="27"/>
      <c r="E305" s="113" t="str">
        <f t="shared" si="20"/>
        <v/>
      </c>
      <c r="F305" s="34" t="str">
        <f t="shared" si="21"/>
        <v/>
      </c>
      <c r="G305" s="14"/>
      <c r="H305" s="57"/>
      <c r="I305" s="111"/>
      <c r="J305" s="111"/>
      <c r="K305" s="112" t="str">
        <f t="shared" si="22"/>
        <v/>
      </c>
      <c r="L305" s="112" t="str">
        <f t="shared" si="23"/>
        <v/>
      </c>
    </row>
    <row r="306" spans="1:12">
      <c r="A306" s="54" t="s">
        <v>342</v>
      </c>
      <c r="B306" s="76" t="s">
        <v>76</v>
      </c>
      <c r="C306" s="26"/>
      <c r="D306" s="27"/>
      <c r="E306" s="113" t="str">
        <f t="shared" si="20"/>
        <v/>
      </c>
      <c r="F306" s="34" t="str">
        <f t="shared" si="21"/>
        <v/>
      </c>
      <c r="G306" s="14"/>
      <c r="H306" s="57"/>
      <c r="I306" s="111"/>
      <c r="J306" s="111"/>
      <c r="K306" s="112" t="str">
        <f t="shared" si="22"/>
        <v/>
      </c>
      <c r="L306" s="112" t="str">
        <f t="shared" si="23"/>
        <v/>
      </c>
    </row>
    <row r="307" spans="1:12" outlineLevel="1">
      <c r="A307" s="54"/>
      <c r="B307" s="8"/>
      <c r="C307" s="26"/>
      <c r="D307" s="27"/>
      <c r="E307" s="113" t="str">
        <f t="shared" si="20"/>
        <v/>
      </c>
      <c r="F307" s="34" t="str">
        <f t="shared" si="21"/>
        <v/>
      </c>
      <c r="G307" s="14"/>
      <c r="H307" s="57"/>
      <c r="I307" s="111"/>
      <c r="J307" s="111"/>
      <c r="K307" s="112" t="str">
        <f t="shared" si="22"/>
        <v/>
      </c>
      <c r="L307" s="112" t="str">
        <f t="shared" si="23"/>
        <v/>
      </c>
    </row>
    <row r="308" spans="1:12" outlineLevel="1">
      <c r="A308" s="54"/>
      <c r="B308" s="8" t="s">
        <v>77</v>
      </c>
      <c r="C308" s="26" t="s">
        <v>5</v>
      </c>
      <c r="D308" s="27"/>
      <c r="E308" s="113" t="str">
        <f t="shared" si="20"/>
        <v/>
      </c>
      <c r="F308" s="34" t="str">
        <f t="shared" si="21"/>
        <v/>
      </c>
      <c r="G308" s="14"/>
      <c r="H308" s="57"/>
      <c r="I308" s="111"/>
      <c r="J308" s="111"/>
      <c r="K308" s="112" t="str">
        <f t="shared" si="22"/>
        <v/>
      </c>
      <c r="L308" s="112" t="str">
        <f t="shared" si="23"/>
        <v/>
      </c>
    </row>
    <row r="309" spans="1:12" outlineLevel="1">
      <c r="A309" s="54"/>
      <c r="B309" s="8" t="s">
        <v>78</v>
      </c>
      <c r="C309" s="26" t="s">
        <v>3</v>
      </c>
      <c r="D309" s="27"/>
      <c r="E309" s="113" t="str">
        <f t="shared" si="20"/>
        <v/>
      </c>
      <c r="F309" s="34" t="str">
        <f t="shared" si="21"/>
        <v/>
      </c>
      <c r="G309" s="14"/>
      <c r="H309" s="57"/>
      <c r="I309" s="111"/>
      <c r="J309" s="111"/>
      <c r="K309" s="112" t="str">
        <f t="shared" si="22"/>
        <v/>
      </c>
      <c r="L309" s="112" t="str">
        <f t="shared" si="23"/>
        <v/>
      </c>
    </row>
    <row r="310" spans="1:12" outlineLevel="1">
      <c r="A310" s="54"/>
      <c r="B310" s="8" t="s">
        <v>79</v>
      </c>
      <c r="C310" s="26" t="s">
        <v>3</v>
      </c>
      <c r="D310" s="27"/>
      <c r="E310" s="113" t="str">
        <f t="shared" si="20"/>
        <v/>
      </c>
      <c r="F310" s="34" t="str">
        <f t="shared" si="21"/>
        <v/>
      </c>
      <c r="G310" s="14"/>
      <c r="H310" s="57"/>
      <c r="I310" s="111"/>
      <c r="J310" s="111"/>
      <c r="K310" s="112" t="str">
        <f t="shared" si="22"/>
        <v/>
      </c>
      <c r="L310" s="112" t="str">
        <f t="shared" si="23"/>
        <v/>
      </c>
    </row>
    <row r="311" spans="1:12" outlineLevel="1">
      <c r="A311" s="54"/>
      <c r="B311" s="8" t="s">
        <v>80</v>
      </c>
      <c r="C311" s="26" t="s">
        <v>4</v>
      </c>
      <c r="D311" s="27"/>
      <c r="E311" s="113" t="str">
        <f t="shared" si="20"/>
        <v/>
      </c>
      <c r="F311" s="34" t="str">
        <f t="shared" si="21"/>
        <v/>
      </c>
      <c r="G311" s="14"/>
      <c r="H311" s="57"/>
      <c r="I311" s="111"/>
      <c r="J311" s="111"/>
      <c r="K311" s="112" t="str">
        <f t="shared" si="22"/>
        <v/>
      </c>
      <c r="L311" s="112" t="str">
        <f t="shared" si="23"/>
        <v/>
      </c>
    </row>
    <row r="312" spans="1:12" outlineLevel="1">
      <c r="A312" s="54"/>
      <c r="B312" s="8" t="s">
        <v>81</v>
      </c>
      <c r="C312" s="26" t="s">
        <v>26</v>
      </c>
      <c r="D312" s="27"/>
      <c r="E312" s="113" t="str">
        <f t="shared" si="20"/>
        <v/>
      </c>
      <c r="F312" s="34" t="str">
        <f t="shared" si="21"/>
        <v/>
      </c>
      <c r="G312" s="14"/>
      <c r="H312" s="57"/>
      <c r="I312" s="111"/>
      <c r="J312" s="111"/>
      <c r="K312" s="112" t="str">
        <f t="shared" si="22"/>
        <v/>
      </c>
      <c r="L312" s="112" t="str">
        <f t="shared" si="23"/>
        <v/>
      </c>
    </row>
    <row r="313" spans="1:12" outlineLevel="1">
      <c r="A313" s="54"/>
      <c r="B313" s="8"/>
      <c r="C313" s="26"/>
      <c r="D313" s="27"/>
      <c r="E313" s="113" t="str">
        <f t="shared" si="20"/>
        <v/>
      </c>
      <c r="F313" s="34" t="str">
        <f t="shared" si="21"/>
        <v/>
      </c>
      <c r="G313" s="14"/>
      <c r="H313" s="57"/>
      <c r="I313" s="111"/>
      <c r="J313" s="111"/>
      <c r="K313" s="112" t="str">
        <f t="shared" si="22"/>
        <v/>
      </c>
      <c r="L313" s="112" t="str">
        <f t="shared" si="23"/>
        <v/>
      </c>
    </row>
    <row r="314" spans="1:12">
      <c r="A314" s="54" t="s">
        <v>344</v>
      </c>
      <c r="B314" s="21" t="s">
        <v>82</v>
      </c>
      <c r="C314" s="26"/>
      <c r="D314" s="27"/>
      <c r="E314" s="113" t="str">
        <f t="shared" si="20"/>
        <v/>
      </c>
      <c r="F314" s="34" t="str">
        <f t="shared" si="21"/>
        <v/>
      </c>
      <c r="G314" s="14"/>
      <c r="H314" s="57"/>
      <c r="I314" s="111"/>
      <c r="J314" s="111"/>
      <c r="K314" s="112" t="str">
        <f t="shared" si="22"/>
        <v/>
      </c>
      <c r="L314" s="112" t="str">
        <f t="shared" si="23"/>
        <v/>
      </c>
    </row>
    <row r="315" spans="1:12" outlineLevel="1">
      <c r="A315" s="54"/>
      <c r="B315" s="22"/>
      <c r="C315" s="26"/>
      <c r="D315" s="27"/>
      <c r="E315" s="113" t="str">
        <f t="shared" si="20"/>
        <v/>
      </c>
      <c r="F315" s="34" t="str">
        <f t="shared" si="21"/>
        <v/>
      </c>
      <c r="G315" s="14"/>
      <c r="H315" s="57"/>
      <c r="I315" s="111"/>
      <c r="J315" s="111"/>
      <c r="K315" s="112" t="str">
        <f t="shared" si="22"/>
        <v/>
      </c>
      <c r="L315" s="112" t="str">
        <f t="shared" si="23"/>
        <v/>
      </c>
    </row>
    <row r="316" spans="1:12" outlineLevel="1">
      <c r="A316" s="54"/>
      <c r="B316" s="8" t="s">
        <v>328</v>
      </c>
      <c r="C316" s="26" t="s">
        <v>5</v>
      </c>
      <c r="D316" s="27"/>
      <c r="E316" s="113" t="str">
        <f t="shared" si="20"/>
        <v/>
      </c>
      <c r="F316" s="34" t="str">
        <f t="shared" si="21"/>
        <v/>
      </c>
      <c r="G316" s="14"/>
      <c r="H316" s="57"/>
      <c r="I316" s="111"/>
      <c r="J316" s="111"/>
      <c r="K316" s="112" t="str">
        <f t="shared" si="22"/>
        <v/>
      </c>
      <c r="L316" s="112" t="str">
        <f t="shared" si="23"/>
        <v/>
      </c>
    </row>
    <row r="317" spans="1:12" outlineLevel="1">
      <c r="A317" s="54"/>
      <c r="B317" s="8" t="s">
        <v>255</v>
      </c>
      <c r="C317" s="26" t="s">
        <v>5</v>
      </c>
      <c r="D317" s="27"/>
      <c r="E317" s="113" t="str">
        <f t="shared" si="20"/>
        <v/>
      </c>
      <c r="F317" s="34" t="str">
        <f t="shared" si="21"/>
        <v/>
      </c>
      <c r="G317" s="14"/>
      <c r="H317" s="57"/>
      <c r="I317" s="111"/>
      <c r="J317" s="111"/>
      <c r="K317" s="112" t="str">
        <f t="shared" si="22"/>
        <v/>
      </c>
      <c r="L317" s="112" t="str">
        <f t="shared" si="23"/>
        <v/>
      </c>
    </row>
    <row r="318" spans="1:12" outlineLevel="1">
      <c r="A318" s="54"/>
      <c r="B318" s="8" t="s">
        <v>256</v>
      </c>
      <c r="C318" s="26" t="s">
        <v>5</v>
      </c>
      <c r="D318" s="27"/>
      <c r="E318" s="113" t="str">
        <f t="shared" si="20"/>
        <v/>
      </c>
      <c r="F318" s="34" t="str">
        <f t="shared" si="21"/>
        <v/>
      </c>
      <c r="G318" s="14"/>
      <c r="H318" s="57"/>
      <c r="I318" s="111"/>
      <c r="J318" s="111"/>
      <c r="K318" s="112" t="str">
        <f t="shared" si="22"/>
        <v/>
      </c>
      <c r="L318" s="112" t="str">
        <f t="shared" si="23"/>
        <v/>
      </c>
    </row>
    <row r="319" spans="1:12" outlineLevel="1">
      <c r="A319" s="54"/>
      <c r="B319" s="8" t="s">
        <v>257</v>
      </c>
      <c r="C319" s="26" t="s">
        <v>5</v>
      </c>
      <c r="D319" s="27"/>
      <c r="E319" s="113" t="str">
        <f t="shared" si="20"/>
        <v/>
      </c>
      <c r="F319" s="34" t="str">
        <f t="shared" si="21"/>
        <v/>
      </c>
      <c r="G319" s="14"/>
      <c r="H319" s="57"/>
      <c r="I319" s="111"/>
      <c r="J319" s="111"/>
      <c r="K319" s="112" t="str">
        <f t="shared" si="22"/>
        <v/>
      </c>
      <c r="L319" s="112" t="str">
        <f t="shared" si="23"/>
        <v/>
      </c>
    </row>
    <row r="320" spans="1:12" outlineLevel="1">
      <c r="A320" s="54"/>
      <c r="B320" s="8" t="s">
        <v>428</v>
      </c>
      <c r="C320" s="26" t="s">
        <v>5</v>
      </c>
      <c r="D320" s="27"/>
      <c r="E320" s="113" t="str">
        <f t="shared" si="20"/>
        <v/>
      </c>
      <c r="F320" s="34" t="str">
        <f t="shared" si="21"/>
        <v/>
      </c>
      <c r="G320" s="14"/>
      <c r="H320" s="57"/>
      <c r="I320" s="111"/>
      <c r="J320" s="111"/>
      <c r="K320" s="112" t="str">
        <f t="shared" si="22"/>
        <v/>
      </c>
      <c r="L320" s="112" t="str">
        <f t="shared" si="23"/>
        <v/>
      </c>
    </row>
    <row r="321" spans="1:12" outlineLevel="1">
      <c r="A321" s="54"/>
      <c r="B321" s="8" t="s">
        <v>329</v>
      </c>
      <c r="C321" s="26" t="s">
        <v>5</v>
      </c>
      <c r="D321" s="27"/>
      <c r="E321" s="113" t="str">
        <f t="shared" si="20"/>
        <v/>
      </c>
      <c r="F321" s="34" t="str">
        <f t="shared" si="21"/>
        <v/>
      </c>
      <c r="G321" s="14"/>
      <c r="H321" s="57"/>
      <c r="I321" s="111"/>
      <c r="J321" s="111"/>
      <c r="K321" s="112" t="str">
        <f t="shared" si="22"/>
        <v/>
      </c>
      <c r="L321" s="112" t="str">
        <f t="shared" si="23"/>
        <v/>
      </c>
    </row>
    <row r="322" spans="1:12" outlineLevel="1">
      <c r="A322" s="54"/>
      <c r="B322" s="8" t="s">
        <v>258</v>
      </c>
      <c r="C322" s="26" t="s">
        <v>5</v>
      </c>
      <c r="D322" s="27"/>
      <c r="E322" s="113" t="str">
        <f t="shared" si="20"/>
        <v/>
      </c>
      <c r="F322" s="34" t="str">
        <f t="shared" si="21"/>
        <v/>
      </c>
      <c r="G322" s="14"/>
      <c r="H322" s="57"/>
      <c r="I322" s="111"/>
      <c r="J322" s="111"/>
      <c r="K322" s="112" t="str">
        <f t="shared" si="22"/>
        <v/>
      </c>
      <c r="L322" s="112" t="str">
        <f t="shared" si="23"/>
        <v/>
      </c>
    </row>
    <row r="323" spans="1:12" outlineLevel="1">
      <c r="A323" s="54"/>
      <c r="B323" s="8" t="s">
        <v>259</v>
      </c>
      <c r="C323" s="26" t="s">
        <v>5</v>
      </c>
      <c r="D323" s="27"/>
      <c r="E323" s="113" t="str">
        <f t="shared" si="20"/>
        <v/>
      </c>
      <c r="F323" s="34" t="str">
        <f t="shared" si="21"/>
        <v/>
      </c>
      <c r="G323" s="14"/>
      <c r="H323" s="57"/>
      <c r="I323" s="111"/>
      <c r="J323" s="111"/>
      <c r="K323" s="112" t="str">
        <f t="shared" si="22"/>
        <v/>
      </c>
      <c r="L323" s="112" t="str">
        <f t="shared" si="23"/>
        <v/>
      </c>
    </row>
    <row r="324" spans="1:12" outlineLevel="1">
      <c r="A324" s="54"/>
      <c r="B324" s="8" t="s">
        <v>429</v>
      </c>
      <c r="C324" s="26" t="s">
        <v>5</v>
      </c>
      <c r="D324" s="27"/>
      <c r="E324" s="113" t="str">
        <f t="shared" si="20"/>
        <v/>
      </c>
      <c r="F324" s="34" t="str">
        <f t="shared" si="21"/>
        <v/>
      </c>
      <c r="G324" s="14"/>
      <c r="H324" s="57"/>
      <c r="I324" s="111"/>
      <c r="J324" s="111"/>
      <c r="K324" s="112" t="str">
        <f t="shared" si="22"/>
        <v/>
      </c>
      <c r="L324" s="112" t="str">
        <f t="shared" si="23"/>
        <v/>
      </c>
    </row>
    <row r="325" spans="1:12" outlineLevel="1">
      <c r="A325" s="54"/>
      <c r="B325" s="8" t="s">
        <v>260</v>
      </c>
      <c r="C325" s="26" t="s">
        <v>5</v>
      </c>
      <c r="D325" s="27"/>
      <c r="E325" s="113" t="str">
        <f t="shared" si="20"/>
        <v/>
      </c>
      <c r="F325" s="34" t="str">
        <f t="shared" si="21"/>
        <v/>
      </c>
      <c r="G325" s="14"/>
      <c r="H325" s="57"/>
      <c r="I325" s="111"/>
      <c r="J325" s="111"/>
      <c r="K325" s="112" t="str">
        <f t="shared" si="22"/>
        <v/>
      </c>
      <c r="L325" s="112" t="str">
        <f t="shared" si="23"/>
        <v/>
      </c>
    </row>
    <row r="326" spans="1:12" outlineLevel="1">
      <c r="A326" s="54"/>
      <c r="B326" s="8" t="s">
        <v>430</v>
      </c>
      <c r="C326" s="26" t="s">
        <v>26</v>
      </c>
      <c r="D326" s="27"/>
      <c r="E326" s="113" t="str">
        <f t="shared" si="20"/>
        <v/>
      </c>
      <c r="F326" s="34" t="str">
        <f t="shared" si="21"/>
        <v/>
      </c>
      <c r="G326" s="14"/>
      <c r="H326" s="57"/>
      <c r="I326" s="111"/>
      <c r="J326" s="111"/>
      <c r="K326" s="112" t="str">
        <f t="shared" si="22"/>
        <v/>
      </c>
      <c r="L326" s="112" t="str">
        <f t="shared" si="23"/>
        <v/>
      </c>
    </row>
    <row r="327" spans="1:12" outlineLevel="1">
      <c r="A327" s="54"/>
      <c r="B327" s="8" t="s">
        <v>262</v>
      </c>
      <c r="C327" s="26" t="s">
        <v>5</v>
      </c>
      <c r="D327" s="27"/>
      <c r="E327" s="113" t="str">
        <f t="shared" si="20"/>
        <v/>
      </c>
      <c r="F327" s="34" t="str">
        <f t="shared" si="21"/>
        <v/>
      </c>
      <c r="G327" s="14"/>
      <c r="H327" s="57"/>
      <c r="I327" s="111"/>
      <c r="J327" s="111"/>
      <c r="K327" s="112" t="str">
        <f t="shared" si="22"/>
        <v/>
      </c>
      <c r="L327" s="112" t="str">
        <f t="shared" si="23"/>
        <v/>
      </c>
    </row>
    <row r="328" spans="1:12" outlineLevel="1">
      <c r="A328" s="54"/>
      <c r="B328" s="8" t="s">
        <v>330</v>
      </c>
      <c r="C328" s="26" t="s">
        <v>5</v>
      </c>
      <c r="D328" s="27"/>
      <c r="E328" s="113" t="str">
        <f t="shared" si="20"/>
        <v/>
      </c>
      <c r="F328" s="34" t="str">
        <f t="shared" si="21"/>
        <v/>
      </c>
      <c r="G328" s="14"/>
      <c r="H328" s="57"/>
      <c r="I328" s="111"/>
      <c r="J328" s="111"/>
      <c r="K328" s="112" t="str">
        <f t="shared" si="22"/>
        <v/>
      </c>
      <c r="L328" s="112" t="str">
        <f t="shared" si="23"/>
        <v/>
      </c>
    </row>
    <row r="329" spans="1:12" outlineLevel="1">
      <c r="A329" s="54"/>
      <c r="B329" s="8" t="s">
        <v>261</v>
      </c>
      <c r="C329" s="26" t="s">
        <v>3</v>
      </c>
      <c r="D329" s="27"/>
      <c r="E329" s="113" t="str">
        <f t="shared" si="20"/>
        <v/>
      </c>
      <c r="F329" s="34" t="str">
        <f t="shared" si="21"/>
        <v/>
      </c>
      <c r="G329" s="14"/>
      <c r="H329" s="57"/>
      <c r="I329" s="111"/>
      <c r="J329" s="111"/>
      <c r="K329" s="112" t="str">
        <f t="shared" si="22"/>
        <v/>
      </c>
      <c r="L329" s="112" t="str">
        <f t="shared" si="23"/>
        <v/>
      </c>
    </row>
    <row r="330" spans="1:12" outlineLevel="1">
      <c r="A330" s="54"/>
      <c r="B330" s="8" t="s">
        <v>343</v>
      </c>
      <c r="C330" s="26" t="s">
        <v>5</v>
      </c>
      <c r="D330" s="27"/>
      <c r="E330" s="113" t="str">
        <f t="shared" ref="E330:E369" si="24">IF(D330="","",(((K330*$L$2)+(L330*$J$2*$J$3))*$L$3)/D330)</f>
        <v/>
      </c>
      <c r="F330" s="34" t="str">
        <f t="shared" ref="F330:F369" si="25">IF(D330="","",D330*E330)</f>
        <v/>
      </c>
      <c r="G330" s="14"/>
      <c r="H330" s="57"/>
      <c r="I330" s="111"/>
      <c r="J330" s="111"/>
      <c r="K330" s="112" t="str">
        <f t="shared" ref="K330:K369" si="26">IF(D330="","",I330*D330)</f>
        <v/>
      </c>
      <c r="L330" s="112" t="str">
        <f t="shared" ref="L330:L369" si="27">IF(D330="","",D330*J330)</f>
        <v/>
      </c>
    </row>
    <row r="331" spans="1:12" outlineLevel="1">
      <c r="A331" s="54"/>
      <c r="B331" s="8" t="s">
        <v>263</v>
      </c>
      <c r="C331" s="26" t="s">
        <v>3</v>
      </c>
      <c r="D331" s="27"/>
      <c r="E331" s="113" t="str">
        <f t="shared" si="24"/>
        <v/>
      </c>
      <c r="F331" s="34" t="str">
        <f t="shared" si="25"/>
        <v/>
      </c>
      <c r="G331" s="14"/>
      <c r="H331" s="57"/>
      <c r="I331" s="111"/>
      <c r="J331" s="111"/>
      <c r="K331" s="112" t="str">
        <f t="shared" si="26"/>
        <v/>
      </c>
      <c r="L331" s="112" t="str">
        <f t="shared" si="27"/>
        <v/>
      </c>
    </row>
    <row r="332" spans="1:12" outlineLevel="1">
      <c r="A332" s="54"/>
      <c r="B332" s="8" t="s">
        <v>404</v>
      </c>
      <c r="C332" s="26" t="s">
        <v>3</v>
      </c>
      <c r="D332" s="27"/>
      <c r="E332" s="113" t="str">
        <f t="shared" si="24"/>
        <v/>
      </c>
      <c r="F332" s="34" t="str">
        <f t="shared" si="25"/>
        <v/>
      </c>
      <c r="G332" s="14"/>
      <c r="H332" s="57"/>
      <c r="I332" s="111"/>
      <c r="J332" s="111"/>
      <c r="K332" s="112" t="str">
        <f t="shared" si="26"/>
        <v/>
      </c>
      <c r="L332" s="112" t="str">
        <f t="shared" si="27"/>
        <v/>
      </c>
    </row>
    <row r="333" spans="1:12" outlineLevel="1">
      <c r="A333" s="54"/>
      <c r="B333" s="8" t="s">
        <v>326</v>
      </c>
      <c r="C333" s="26" t="s">
        <v>3</v>
      </c>
      <c r="D333" s="27"/>
      <c r="E333" s="113" t="str">
        <f t="shared" si="24"/>
        <v/>
      </c>
      <c r="F333" s="34" t="str">
        <f t="shared" si="25"/>
        <v/>
      </c>
      <c r="G333" s="14"/>
      <c r="H333" s="57"/>
      <c r="I333" s="111"/>
      <c r="J333" s="111"/>
      <c r="K333" s="112" t="str">
        <f t="shared" si="26"/>
        <v/>
      </c>
      <c r="L333" s="112" t="str">
        <f t="shared" si="27"/>
        <v/>
      </c>
    </row>
    <row r="334" spans="1:12" outlineLevel="1">
      <c r="A334" s="54"/>
      <c r="B334" s="32"/>
      <c r="C334" s="46"/>
      <c r="D334" s="27"/>
      <c r="E334" s="113" t="str">
        <f t="shared" si="24"/>
        <v/>
      </c>
      <c r="F334" s="34" t="str">
        <f t="shared" si="25"/>
        <v/>
      </c>
      <c r="G334" s="14"/>
      <c r="H334" s="57"/>
      <c r="I334" s="111"/>
      <c r="J334" s="111"/>
      <c r="K334" s="112" t="str">
        <f t="shared" si="26"/>
        <v/>
      </c>
      <c r="L334" s="112" t="str">
        <f t="shared" si="27"/>
        <v/>
      </c>
    </row>
    <row r="335" spans="1:12">
      <c r="A335" s="54" t="s">
        <v>346</v>
      </c>
      <c r="B335" s="76" t="s">
        <v>157</v>
      </c>
      <c r="C335" s="46"/>
      <c r="D335" s="27"/>
      <c r="E335" s="113" t="str">
        <f t="shared" si="24"/>
        <v/>
      </c>
      <c r="F335" s="34" t="str">
        <f t="shared" si="25"/>
        <v/>
      </c>
      <c r="G335" s="14"/>
      <c r="H335" s="57"/>
      <c r="I335" s="111"/>
      <c r="J335" s="111"/>
      <c r="K335" s="112" t="str">
        <f t="shared" si="26"/>
        <v/>
      </c>
      <c r="L335" s="112" t="str">
        <f t="shared" si="27"/>
        <v/>
      </c>
    </row>
    <row r="336" spans="1:12" outlineLevel="1">
      <c r="A336" s="54"/>
      <c r="B336" s="8"/>
      <c r="C336" s="26"/>
      <c r="D336" s="27"/>
      <c r="E336" s="113" t="str">
        <f t="shared" si="24"/>
        <v/>
      </c>
      <c r="F336" s="34" t="str">
        <f t="shared" si="25"/>
        <v/>
      </c>
      <c r="G336" s="14"/>
      <c r="H336" s="57"/>
      <c r="I336" s="111"/>
      <c r="J336" s="111"/>
      <c r="K336" s="112" t="str">
        <f t="shared" si="26"/>
        <v/>
      </c>
      <c r="L336" s="112" t="str">
        <f t="shared" si="27"/>
        <v/>
      </c>
    </row>
    <row r="337" spans="1:12" outlineLevel="1">
      <c r="A337" s="54"/>
      <c r="B337" s="8" t="s">
        <v>318</v>
      </c>
      <c r="C337" s="26" t="s">
        <v>5</v>
      </c>
      <c r="D337" s="27"/>
      <c r="E337" s="113" t="str">
        <f t="shared" si="24"/>
        <v/>
      </c>
      <c r="F337" s="34" t="str">
        <f t="shared" si="25"/>
        <v/>
      </c>
      <c r="G337" s="14"/>
      <c r="H337" s="57"/>
      <c r="I337" s="111"/>
      <c r="J337" s="111"/>
      <c r="K337" s="112" t="str">
        <f t="shared" si="26"/>
        <v/>
      </c>
      <c r="L337" s="112" t="str">
        <f t="shared" si="27"/>
        <v/>
      </c>
    </row>
    <row r="338" spans="1:12" outlineLevel="1">
      <c r="A338" s="54"/>
      <c r="B338" s="8" t="s">
        <v>406</v>
      </c>
      <c r="C338" s="26" t="s">
        <v>5</v>
      </c>
      <c r="D338" s="27"/>
      <c r="E338" s="113" t="str">
        <f t="shared" si="24"/>
        <v/>
      </c>
      <c r="F338" s="34" t="str">
        <f t="shared" si="25"/>
        <v/>
      </c>
      <c r="G338" s="14"/>
      <c r="H338" s="57"/>
      <c r="I338" s="111"/>
      <c r="J338" s="111"/>
      <c r="K338" s="112" t="str">
        <f t="shared" si="26"/>
        <v/>
      </c>
      <c r="L338" s="112" t="str">
        <f t="shared" si="27"/>
        <v/>
      </c>
    </row>
    <row r="339" spans="1:12" outlineLevel="1">
      <c r="A339" s="54"/>
      <c r="B339" s="8" t="s">
        <v>345</v>
      </c>
      <c r="C339" s="26" t="s">
        <v>5</v>
      </c>
      <c r="D339" s="27"/>
      <c r="E339" s="113" t="str">
        <f t="shared" si="24"/>
        <v/>
      </c>
      <c r="F339" s="34" t="str">
        <f t="shared" si="25"/>
        <v/>
      </c>
      <c r="G339" s="14"/>
      <c r="H339" s="57"/>
      <c r="I339" s="111"/>
      <c r="J339" s="111"/>
      <c r="K339" s="112" t="str">
        <f t="shared" si="26"/>
        <v/>
      </c>
      <c r="L339" s="112" t="str">
        <f t="shared" si="27"/>
        <v/>
      </c>
    </row>
    <row r="340" spans="1:12" outlineLevel="1">
      <c r="A340" s="54"/>
      <c r="B340" s="8" t="s">
        <v>409</v>
      </c>
      <c r="C340" s="26" t="s">
        <v>5</v>
      </c>
      <c r="D340" s="27"/>
      <c r="E340" s="113" t="str">
        <f t="shared" si="24"/>
        <v/>
      </c>
      <c r="F340" s="34" t="str">
        <f t="shared" si="25"/>
        <v/>
      </c>
      <c r="G340" s="14"/>
      <c r="H340" s="57"/>
      <c r="I340" s="111"/>
      <c r="J340" s="111"/>
      <c r="K340" s="112" t="str">
        <f t="shared" si="26"/>
        <v/>
      </c>
      <c r="L340" s="112" t="str">
        <f t="shared" si="27"/>
        <v/>
      </c>
    </row>
    <row r="341" spans="1:12" outlineLevel="1">
      <c r="A341" s="54"/>
      <c r="B341" s="8" t="s">
        <v>407</v>
      </c>
      <c r="C341" s="26" t="s">
        <v>5</v>
      </c>
      <c r="D341" s="27"/>
      <c r="E341" s="113" t="str">
        <f t="shared" si="24"/>
        <v/>
      </c>
      <c r="F341" s="34" t="str">
        <f t="shared" si="25"/>
        <v/>
      </c>
      <c r="G341" s="14"/>
      <c r="H341" s="57"/>
      <c r="I341" s="111"/>
      <c r="J341" s="111"/>
      <c r="K341" s="112" t="str">
        <f t="shared" si="26"/>
        <v/>
      </c>
      <c r="L341" s="112" t="str">
        <f t="shared" si="27"/>
        <v/>
      </c>
    </row>
    <row r="342" spans="1:12" outlineLevel="1">
      <c r="A342" s="54"/>
      <c r="B342" s="8" t="s">
        <v>290</v>
      </c>
      <c r="C342" s="26" t="s">
        <v>5</v>
      </c>
      <c r="D342" s="27"/>
      <c r="E342" s="113" t="str">
        <f t="shared" si="24"/>
        <v/>
      </c>
      <c r="F342" s="34" t="str">
        <f t="shared" si="25"/>
        <v/>
      </c>
      <c r="G342" s="14"/>
      <c r="H342" s="57"/>
      <c r="I342" s="111"/>
      <c r="J342" s="111"/>
      <c r="K342" s="112" t="str">
        <f t="shared" si="26"/>
        <v/>
      </c>
      <c r="L342" s="112" t="str">
        <f t="shared" si="27"/>
        <v/>
      </c>
    </row>
    <row r="343" spans="1:12" outlineLevel="1">
      <c r="A343" s="54"/>
      <c r="B343" s="8" t="s">
        <v>319</v>
      </c>
      <c r="C343" s="26" t="s">
        <v>26</v>
      </c>
      <c r="D343" s="27"/>
      <c r="E343" s="113" t="str">
        <f t="shared" si="24"/>
        <v/>
      </c>
      <c r="F343" s="34" t="str">
        <f t="shared" si="25"/>
        <v/>
      </c>
      <c r="G343" s="14"/>
      <c r="H343" s="57"/>
      <c r="I343" s="111"/>
      <c r="J343" s="111"/>
      <c r="K343" s="112" t="str">
        <f t="shared" si="26"/>
        <v/>
      </c>
      <c r="L343" s="112" t="str">
        <f t="shared" si="27"/>
        <v/>
      </c>
    </row>
    <row r="344" spans="1:12" outlineLevel="1">
      <c r="A344" s="54"/>
      <c r="B344" s="8" t="s">
        <v>408</v>
      </c>
      <c r="C344" s="26" t="s">
        <v>5</v>
      </c>
      <c r="D344" s="27"/>
      <c r="E344" s="113" t="str">
        <f t="shared" si="24"/>
        <v/>
      </c>
      <c r="F344" s="34" t="str">
        <f t="shared" si="25"/>
        <v/>
      </c>
      <c r="G344" s="14"/>
      <c r="H344" s="57"/>
      <c r="I344" s="111"/>
      <c r="J344" s="111"/>
      <c r="K344" s="112" t="str">
        <f t="shared" si="26"/>
        <v/>
      </c>
      <c r="L344" s="112" t="str">
        <f t="shared" si="27"/>
        <v/>
      </c>
    </row>
    <row r="345" spans="1:12" ht="31" outlineLevel="1">
      <c r="A345" s="54"/>
      <c r="B345" s="8" t="s">
        <v>155</v>
      </c>
      <c r="C345" s="26" t="s">
        <v>4</v>
      </c>
      <c r="D345" s="27"/>
      <c r="E345" s="113" t="str">
        <f t="shared" si="24"/>
        <v/>
      </c>
      <c r="F345" s="34" t="str">
        <f t="shared" si="25"/>
        <v/>
      </c>
      <c r="G345" s="14"/>
      <c r="H345" s="57"/>
      <c r="I345" s="111"/>
      <c r="J345" s="111"/>
      <c r="K345" s="112" t="str">
        <f t="shared" si="26"/>
        <v/>
      </c>
      <c r="L345" s="112" t="str">
        <f t="shared" si="27"/>
        <v/>
      </c>
    </row>
    <row r="346" spans="1:12" outlineLevel="1">
      <c r="A346" s="54"/>
      <c r="B346" s="8" t="s">
        <v>156</v>
      </c>
      <c r="C346" s="26" t="s">
        <v>3</v>
      </c>
      <c r="D346" s="27"/>
      <c r="E346" s="113" t="str">
        <f t="shared" si="24"/>
        <v/>
      </c>
      <c r="F346" s="34" t="str">
        <f t="shared" si="25"/>
        <v/>
      </c>
      <c r="G346" s="14"/>
      <c r="H346" s="57"/>
      <c r="I346" s="111"/>
      <c r="J346" s="111"/>
      <c r="K346" s="112" t="str">
        <f t="shared" si="26"/>
        <v/>
      </c>
      <c r="L346" s="112" t="str">
        <f t="shared" si="27"/>
        <v/>
      </c>
    </row>
    <row r="347" spans="1:12" outlineLevel="1">
      <c r="A347" s="54"/>
      <c r="B347" s="8"/>
      <c r="C347" s="26"/>
      <c r="D347" s="27"/>
      <c r="E347" s="113" t="str">
        <f t="shared" si="24"/>
        <v/>
      </c>
      <c r="F347" s="34" t="str">
        <f t="shared" si="25"/>
        <v/>
      </c>
      <c r="G347" s="14"/>
      <c r="H347" s="57"/>
      <c r="I347" s="111"/>
      <c r="J347" s="111"/>
      <c r="K347" s="112" t="str">
        <f t="shared" si="26"/>
        <v/>
      </c>
      <c r="L347" s="112" t="str">
        <f t="shared" si="27"/>
        <v/>
      </c>
    </row>
    <row r="348" spans="1:12">
      <c r="A348" s="54" t="s">
        <v>347</v>
      </c>
      <c r="B348" s="76" t="s">
        <v>317</v>
      </c>
      <c r="C348" s="26"/>
      <c r="D348" s="27"/>
      <c r="E348" s="113" t="str">
        <f t="shared" si="24"/>
        <v/>
      </c>
      <c r="F348" s="34" t="str">
        <f t="shared" si="25"/>
        <v/>
      </c>
      <c r="G348" s="14"/>
      <c r="H348" s="57"/>
      <c r="I348" s="111"/>
      <c r="J348" s="111"/>
      <c r="K348" s="112" t="str">
        <f t="shared" si="26"/>
        <v/>
      </c>
      <c r="L348" s="112" t="str">
        <f t="shared" si="27"/>
        <v/>
      </c>
    </row>
    <row r="349" spans="1:12" outlineLevel="1">
      <c r="A349" s="54"/>
      <c r="B349" s="33"/>
      <c r="C349" s="26"/>
      <c r="D349" s="27"/>
      <c r="E349" s="113" t="str">
        <f t="shared" si="24"/>
        <v/>
      </c>
      <c r="F349" s="34" t="str">
        <f t="shared" si="25"/>
        <v/>
      </c>
      <c r="G349" s="14"/>
      <c r="H349" s="57"/>
      <c r="I349" s="111"/>
      <c r="J349" s="111"/>
      <c r="K349" s="112" t="str">
        <f t="shared" si="26"/>
        <v/>
      </c>
      <c r="L349" s="112" t="str">
        <f t="shared" si="27"/>
        <v/>
      </c>
    </row>
    <row r="350" spans="1:12" outlineLevel="1">
      <c r="A350" s="54"/>
      <c r="B350" s="8" t="s">
        <v>431</v>
      </c>
      <c r="C350" s="26" t="s">
        <v>5</v>
      </c>
      <c r="D350" s="27"/>
      <c r="E350" s="113" t="str">
        <f t="shared" si="24"/>
        <v/>
      </c>
      <c r="F350" s="34" t="str">
        <f t="shared" si="25"/>
        <v/>
      </c>
      <c r="G350" s="14"/>
      <c r="H350" s="57"/>
      <c r="I350" s="111"/>
      <c r="J350" s="111"/>
      <c r="K350" s="112" t="str">
        <f t="shared" si="26"/>
        <v/>
      </c>
      <c r="L350" s="112" t="str">
        <f t="shared" si="27"/>
        <v/>
      </c>
    </row>
    <row r="351" spans="1:12" outlineLevel="1">
      <c r="A351" s="54"/>
      <c r="B351" s="8" t="s">
        <v>294</v>
      </c>
      <c r="C351" s="26" t="s">
        <v>5</v>
      </c>
      <c r="D351" s="27"/>
      <c r="E351" s="113" t="str">
        <f t="shared" si="24"/>
        <v/>
      </c>
      <c r="F351" s="34" t="str">
        <f t="shared" si="25"/>
        <v/>
      </c>
      <c r="G351" s="14"/>
      <c r="H351" s="57"/>
      <c r="I351" s="111"/>
      <c r="J351" s="111"/>
      <c r="K351" s="112" t="str">
        <f t="shared" si="26"/>
        <v/>
      </c>
      <c r="L351" s="112" t="str">
        <f t="shared" si="27"/>
        <v/>
      </c>
    </row>
    <row r="352" spans="1:12" outlineLevel="1">
      <c r="A352" s="54"/>
      <c r="B352" s="8" t="s">
        <v>295</v>
      </c>
      <c r="C352" s="26" t="s">
        <v>5</v>
      </c>
      <c r="D352" s="27"/>
      <c r="E352" s="113" t="str">
        <f t="shared" si="24"/>
        <v/>
      </c>
      <c r="F352" s="34" t="str">
        <f t="shared" si="25"/>
        <v/>
      </c>
      <c r="G352" s="14"/>
      <c r="H352" s="57"/>
      <c r="I352" s="111"/>
      <c r="J352" s="111"/>
      <c r="K352" s="112" t="str">
        <f t="shared" si="26"/>
        <v/>
      </c>
      <c r="L352" s="112" t="str">
        <f t="shared" si="27"/>
        <v/>
      </c>
    </row>
    <row r="353" spans="1:12" outlineLevel="1">
      <c r="A353" s="54"/>
      <c r="B353" s="8" t="s">
        <v>296</v>
      </c>
      <c r="C353" s="26" t="s">
        <v>5</v>
      </c>
      <c r="D353" s="27"/>
      <c r="E353" s="113" t="str">
        <f t="shared" si="24"/>
        <v/>
      </c>
      <c r="F353" s="34" t="str">
        <f t="shared" si="25"/>
        <v/>
      </c>
      <c r="G353" s="14"/>
      <c r="H353" s="57"/>
      <c r="I353" s="111"/>
      <c r="J353" s="111"/>
      <c r="K353" s="112" t="str">
        <f t="shared" si="26"/>
        <v/>
      </c>
      <c r="L353" s="112" t="str">
        <f t="shared" si="27"/>
        <v/>
      </c>
    </row>
    <row r="354" spans="1:12" outlineLevel="1">
      <c r="A354" s="54"/>
      <c r="B354" s="8" t="s">
        <v>297</v>
      </c>
      <c r="C354" s="26" t="s">
        <v>5</v>
      </c>
      <c r="D354" s="27"/>
      <c r="E354" s="113" t="str">
        <f t="shared" si="24"/>
        <v/>
      </c>
      <c r="F354" s="34" t="str">
        <f t="shared" si="25"/>
        <v/>
      </c>
      <c r="G354" s="14"/>
      <c r="H354" s="57"/>
      <c r="I354" s="111"/>
      <c r="J354" s="111"/>
      <c r="K354" s="112" t="str">
        <f t="shared" si="26"/>
        <v/>
      </c>
      <c r="L354" s="112" t="str">
        <f t="shared" si="27"/>
        <v/>
      </c>
    </row>
    <row r="355" spans="1:12" outlineLevel="1">
      <c r="A355" s="54"/>
      <c r="B355" s="8" t="s">
        <v>298</v>
      </c>
      <c r="C355" s="26" t="s">
        <v>5</v>
      </c>
      <c r="D355" s="27"/>
      <c r="E355" s="113" t="str">
        <f t="shared" si="24"/>
        <v/>
      </c>
      <c r="F355" s="34" t="str">
        <f t="shared" si="25"/>
        <v/>
      </c>
      <c r="G355" s="14"/>
      <c r="H355" s="57"/>
      <c r="I355" s="111"/>
      <c r="J355" s="111"/>
      <c r="K355" s="112" t="str">
        <f t="shared" si="26"/>
        <v/>
      </c>
      <c r="L355" s="112" t="str">
        <f t="shared" si="27"/>
        <v/>
      </c>
    </row>
    <row r="356" spans="1:12" outlineLevel="1">
      <c r="A356" s="54"/>
      <c r="B356" s="8" t="s">
        <v>377</v>
      </c>
      <c r="C356" s="26" t="s">
        <v>5</v>
      </c>
      <c r="D356" s="27"/>
      <c r="E356" s="113" t="str">
        <f t="shared" si="24"/>
        <v/>
      </c>
      <c r="F356" s="34" t="str">
        <f t="shared" si="25"/>
        <v/>
      </c>
      <c r="G356" s="14"/>
      <c r="H356" s="57"/>
      <c r="I356" s="111"/>
      <c r="J356" s="111"/>
      <c r="K356" s="112" t="str">
        <f t="shared" si="26"/>
        <v/>
      </c>
      <c r="L356" s="112" t="str">
        <f t="shared" si="27"/>
        <v/>
      </c>
    </row>
    <row r="357" spans="1:12" outlineLevel="1">
      <c r="A357" s="54"/>
      <c r="B357" s="8" t="s">
        <v>432</v>
      </c>
      <c r="C357" s="26" t="s">
        <v>4</v>
      </c>
      <c r="D357" s="27"/>
      <c r="E357" s="113" t="str">
        <f t="shared" si="24"/>
        <v/>
      </c>
      <c r="F357" s="34" t="str">
        <f t="shared" si="25"/>
        <v/>
      </c>
      <c r="G357" s="14"/>
      <c r="H357" s="57"/>
      <c r="I357" s="111"/>
      <c r="J357" s="111"/>
      <c r="K357" s="112" t="str">
        <f t="shared" si="26"/>
        <v/>
      </c>
      <c r="L357" s="112" t="str">
        <f t="shared" si="27"/>
        <v/>
      </c>
    </row>
    <row r="358" spans="1:12" outlineLevel="1">
      <c r="A358" s="54"/>
      <c r="B358" s="8" t="s">
        <v>433</v>
      </c>
      <c r="C358" s="26" t="s">
        <v>4</v>
      </c>
      <c r="D358" s="27"/>
      <c r="E358" s="113" t="str">
        <f t="shared" si="24"/>
        <v/>
      </c>
      <c r="F358" s="34" t="str">
        <f t="shared" si="25"/>
        <v/>
      </c>
      <c r="G358" s="14"/>
      <c r="H358" s="57"/>
      <c r="I358" s="111"/>
      <c r="J358" s="111"/>
      <c r="K358" s="112" t="str">
        <f t="shared" si="26"/>
        <v/>
      </c>
      <c r="L358" s="112" t="str">
        <f t="shared" si="27"/>
        <v/>
      </c>
    </row>
    <row r="359" spans="1:12" outlineLevel="1">
      <c r="A359" s="54"/>
      <c r="B359" s="8" t="s">
        <v>161</v>
      </c>
      <c r="C359" s="26" t="s">
        <v>3</v>
      </c>
      <c r="D359" s="27"/>
      <c r="E359" s="113" t="str">
        <f t="shared" si="24"/>
        <v/>
      </c>
      <c r="F359" s="34" t="str">
        <f t="shared" si="25"/>
        <v/>
      </c>
      <c r="G359" s="14"/>
      <c r="H359" s="57"/>
      <c r="I359" s="111"/>
      <c r="J359" s="111"/>
      <c r="K359" s="112" t="str">
        <f t="shared" si="26"/>
        <v/>
      </c>
      <c r="L359" s="112" t="str">
        <f t="shared" si="27"/>
        <v/>
      </c>
    </row>
    <row r="360" spans="1:12" outlineLevel="1">
      <c r="A360" s="54"/>
      <c r="B360" s="8"/>
      <c r="C360" s="26"/>
      <c r="D360" s="27"/>
      <c r="E360" s="113" t="str">
        <f t="shared" si="24"/>
        <v/>
      </c>
      <c r="F360" s="34" t="str">
        <f t="shared" si="25"/>
        <v/>
      </c>
      <c r="G360" s="14"/>
      <c r="H360" s="57"/>
      <c r="I360" s="111"/>
      <c r="J360" s="111"/>
      <c r="K360" s="112" t="str">
        <f t="shared" si="26"/>
        <v/>
      </c>
      <c r="L360" s="112" t="str">
        <f t="shared" si="27"/>
        <v/>
      </c>
    </row>
    <row r="361" spans="1:12" ht="18.75" customHeight="1">
      <c r="A361" s="54" t="s">
        <v>447</v>
      </c>
      <c r="B361" s="76" t="s">
        <v>327</v>
      </c>
      <c r="C361" s="26"/>
      <c r="D361" s="27"/>
      <c r="E361" s="113" t="str">
        <f t="shared" si="24"/>
        <v/>
      </c>
      <c r="F361" s="34" t="str">
        <f t="shared" si="25"/>
        <v/>
      </c>
      <c r="G361" s="14"/>
      <c r="H361" s="57"/>
      <c r="I361" s="111"/>
      <c r="J361" s="111"/>
      <c r="K361" s="112" t="str">
        <f t="shared" si="26"/>
        <v/>
      </c>
      <c r="L361" s="112" t="str">
        <f t="shared" si="27"/>
        <v/>
      </c>
    </row>
    <row r="362" spans="1:12" ht="18.75" customHeight="1">
      <c r="A362" s="54"/>
      <c r="B362" s="76"/>
      <c r="C362" s="26"/>
      <c r="D362" s="27"/>
      <c r="E362" s="113" t="str">
        <f t="shared" si="24"/>
        <v/>
      </c>
      <c r="F362" s="34" t="str">
        <f t="shared" si="25"/>
        <v/>
      </c>
      <c r="G362" s="14"/>
      <c r="H362" s="57"/>
      <c r="I362" s="111"/>
      <c r="J362" s="111"/>
      <c r="K362" s="112" t="str">
        <f t="shared" si="26"/>
        <v/>
      </c>
      <c r="L362" s="112" t="str">
        <f t="shared" si="27"/>
        <v/>
      </c>
    </row>
    <row r="363" spans="1:12" outlineLevel="1">
      <c r="A363" s="54"/>
      <c r="B363" s="8" t="s">
        <v>320</v>
      </c>
      <c r="C363" s="26" t="s">
        <v>5</v>
      </c>
      <c r="D363" s="27"/>
      <c r="E363" s="113" t="str">
        <f t="shared" si="24"/>
        <v/>
      </c>
      <c r="F363" s="34" t="str">
        <f t="shared" si="25"/>
        <v/>
      </c>
      <c r="G363" s="14"/>
      <c r="H363" s="57"/>
      <c r="I363" s="111"/>
      <c r="J363" s="111"/>
      <c r="K363" s="112" t="str">
        <f t="shared" si="26"/>
        <v/>
      </c>
      <c r="L363" s="112" t="str">
        <f t="shared" si="27"/>
        <v/>
      </c>
    </row>
    <row r="364" spans="1:12" outlineLevel="1">
      <c r="A364" s="54"/>
      <c r="B364" s="8" t="s">
        <v>321</v>
      </c>
      <c r="C364" s="26" t="s">
        <v>5</v>
      </c>
      <c r="D364" s="27"/>
      <c r="E364" s="113" t="str">
        <f t="shared" si="24"/>
        <v/>
      </c>
      <c r="F364" s="34" t="str">
        <f t="shared" si="25"/>
        <v/>
      </c>
      <c r="G364" s="14"/>
      <c r="H364" s="57"/>
      <c r="I364" s="111"/>
      <c r="J364" s="111"/>
      <c r="K364" s="112" t="str">
        <f t="shared" si="26"/>
        <v/>
      </c>
      <c r="L364" s="112" t="str">
        <f t="shared" si="27"/>
        <v/>
      </c>
    </row>
    <row r="365" spans="1:12" outlineLevel="1">
      <c r="A365" s="54"/>
      <c r="B365" s="8" t="s">
        <v>322</v>
      </c>
      <c r="C365" s="26" t="s">
        <v>5</v>
      </c>
      <c r="D365" s="27"/>
      <c r="E365" s="113" t="str">
        <f t="shared" si="24"/>
        <v/>
      </c>
      <c r="F365" s="34" t="str">
        <f t="shared" si="25"/>
        <v/>
      </c>
      <c r="G365" s="14"/>
      <c r="H365" s="57"/>
      <c r="I365" s="111"/>
      <c r="J365" s="111"/>
      <c r="K365" s="112" t="str">
        <f t="shared" si="26"/>
        <v/>
      </c>
      <c r="L365" s="112" t="str">
        <f t="shared" si="27"/>
        <v/>
      </c>
    </row>
    <row r="366" spans="1:12" outlineLevel="1">
      <c r="A366" s="54"/>
      <c r="B366" s="8" t="s">
        <v>323</v>
      </c>
      <c r="C366" s="26" t="s">
        <v>5</v>
      </c>
      <c r="D366" s="27"/>
      <c r="E366" s="113" t="str">
        <f t="shared" si="24"/>
        <v/>
      </c>
      <c r="F366" s="34" t="str">
        <f t="shared" si="25"/>
        <v/>
      </c>
      <c r="G366" s="14"/>
      <c r="H366" s="57"/>
      <c r="I366" s="111"/>
      <c r="J366" s="111"/>
      <c r="K366" s="112" t="str">
        <f t="shared" si="26"/>
        <v/>
      </c>
      <c r="L366" s="112" t="str">
        <f t="shared" si="27"/>
        <v/>
      </c>
    </row>
    <row r="367" spans="1:12" outlineLevel="1">
      <c r="A367" s="54"/>
      <c r="B367" s="8" t="s">
        <v>324</v>
      </c>
      <c r="C367" s="26" t="s">
        <v>5</v>
      </c>
      <c r="D367" s="27"/>
      <c r="E367" s="113" t="str">
        <f t="shared" si="24"/>
        <v/>
      </c>
      <c r="F367" s="34" t="str">
        <f t="shared" si="25"/>
        <v/>
      </c>
      <c r="G367" s="14"/>
      <c r="H367" s="57"/>
      <c r="I367" s="111"/>
      <c r="J367" s="111"/>
      <c r="K367" s="112" t="str">
        <f t="shared" si="26"/>
        <v/>
      </c>
      <c r="L367" s="112" t="str">
        <f t="shared" si="27"/>
        <v/>
      </c>
    </row>
    <row r="368" spans="1:12" outlineLevel="1">
      <c r="A368" s="54"/>
      <c r="B368" s="8" t="s">
        <v>325</v>
      </c>
      <c r="C368" s="26" t="s">
        <v>3</v>
      </c>
      <c r="D368" s="27"/>
      <c r="E368" s="113" t="str">
        <f t="shared" si="24"/>
        <v/>
      </c>
      <c r="F368" s="34" t="str">
        <f t="shared" si="25"/>
        <v/>
      </c>
      <c r="G368" s="14"/>
      <c r="H368" s="57"/>
      <c r="I368" s="111"/>
      <c r="J368" s="111"/>
      <c r="K368" s="112" t="str">
        <f t="shared" si="26"/>
        <v/>
      </c>
      <c r="L368" s="112" t="str">
        <f t="shared" si="27"/>
        <v/>
      </c>
    </row>
    <row r="369" spans="1:12" outlineLevel="1">
      <c r="A369" s="54"/>
      <c r="B369" s="8" t="s">
        <v>326</v>
      </c>
      <c r="C369" s="26" t="s">
        <v>3</v>
      </c>
      <c r="D369" s="27"/>
      <c r="E369" s="113" t="str">
        <f t="shared" si="24"/>
        <v/>
      </c>
      <c r="F369" s="34" t="str">
        <f t="shared" si="25"/>
        <v/>
      </c>
      <c r="G369" s="14"/>
      <c r="H369" s="57"/>
      <c r="I369" s="111"/>
      <c r="J369" s="111"/>
      <c r="K369" s="112" t="str">
        <f t="shared" si="26"/>
        <v/>
      </c>
      <c r="L369" s="112" t="str">
        <f t="shared" si="27"/>
        <v/>
      </c>
    </row>
    <row r="370" spans="1:12" ht="16" outlineLevel="1" thickBot="1">
      <c r="A370" s="54"/>
      <c r="B370" s="8"/>
      <c r="C370" s="36"/>
      <c r="D370" s="36"/>
      <c r="E370" s="35"/>
      <c r="F370" s="37"/>
      <c r="G370" s="40"/>
      <c r="H370" s="77"/>
      <c r="I370" s="111"/>
      <c r="J370" s="111"/>
      <c r="K370" s="112"/>
      <c r="L370" s="112"/>
    </row>
    <row r="371" spans="1:12" ht="18.5" thickBot="1">
      <c r="A371" s="58">
        <v>4</v>
      </c>
      <c r="B371" s="59" t="s">
        <v>28</v>
      </c>
      <c r="C371" s="68"/>
      <c r="D371" s="69"/>
      <c r="E371" s="62"/>
      <c r="F371" s="62"/>
      <c r="G371" s="63"/>
      <c r="H371" s="64"/>
      <c r="I371" s="111"/>
      <c r="J371" s="111"/>
      <c r="K371" s="112"/>
      <c r="L371" s="112"/>
    </row>
    <row r="372" spans="1:12">
      <c r="A372" s="54"/>
      <c r="B372" s="13"/>
      <c r="C372" s="26"/>
      <c r="D372" s="27"/>
      <c r="E372" s="9"/>
      <c r="F372" s="34"/>
      <c r="G372" s="14"/>
      <c r="H372" s="57"/>
      <c r="I372" s="111"/>
      <c r="J372" s="111"/>
      <c r="K372" s="112"/>
      <c r="L372" s="112"/>
    </row>
    <row r="373" spans="1:12">
      <c r="A373" s="54" t="s">
        <v>216</v>
      </c>
      <c r="B373" s="76" t="s">
        <v>17</v>
      </c>
      <c r="C373" s="26"/>
      <c r="D373" s="27"/>
      <c r="E373" s="113" t="str">
        <f t="shared" ref="E373:E436" si="28">IF(D373="","",(((K373*$L$2)+(L373*$J$2*$J$3))*$L$3)/D373)</f>
        <v/>
      </c>
      <c r="F373" s="34" t="str">
        <f t="shared" ref="F373:F436" si="29">IF(D373="","",D373*E373)</f>
        <v/>
      </c>
      <c r="G373" s="14"/>
      <c r="H373" s="57"/>
      <c r="I373" s="111"/>
      <c r="J373" s="111"/>
      <c r="K373" s="112" t="str">
        <f t="shared" ref="K373:K436" si="30">IF(D373="","",I373*D373)</f>
        <v/>
      </c>
      <c r="L373" s="112" t="str">
        <f t="shared" ref="L373:L436" si="31">IF(D373="","",D373*J373)</f>
        <v/>
      </c>
    </row>
    <row r="374" spans="1:12" ht="15.75" customHeight="1" outlineLevel="1">
      <c r="A374" s="54"/>
      <c r="B374" s="76"/>
      <c r="C374" s="26"/>
      <c r="D374" s="27"/>
      <c r="E374" s="113" t="str">
        <f t="shared" si="28"/>
        <v/>
      </c>
      <c r="F374" s="34" t="str">
        <f t="shared" si="29"/>
        <v/>
      </c>
      <c r="G374" s="14"/>
      <c r="H374" s="57"/>
      <c r="I374" s="111"/>
      <c r="J374" s="111"/>
      <c r="K374" s="112" t="str">
        <f t="shared" si="30"/>
        <v/>
      </c>
      <c r="L374" s="112" t="str">
        <f t="shared" si="31"/>
        <v/>
      </c>
    </row>
    <row r="375" spans="1:12" outlineLevel="1">
      <c r="A375" s="54"/>
      <c r="B375" s="25" t="s">
        <v>22</v>
      </c>
      <c r="C375" s="26" t="s">
        <v>3</v>
      </c>
      <c r="D375" s="27"/>
      <c r="E375" s="113" t="str">
        <f t="shared" si="28"/>
        <v/>
      </c>
      <c r="F375" s="34" t="str">
        <f t="shared" si="29"/>
        <v/>
      </c>
      <c r="G375" s="14"/>
      <c r="H375" s="57"/>
      <c r="I375" s="111"/>
      <c r="J375" s="111"/>
      <c r="K375" s="112" t="str">
        <f t="shared" si="30"/>
        <v/>
      </c>
      <c r="L375" s="112" t="str">
        <f t="shared" si="31"/>
        <v/>
      </c>
    </row>
    <row r="376" spans="1:12" outlineLevel="1">
      <c r="A376" s="54"/>
      <c r="B376" s="25" t="s">
        <v>23</v>
      </c>
      <c r="C376" s="26" t="s">
        <v>26</v>
      </c>
      <c r="D376" s="27"/>
      <c r="E376" s="113" t="str">
        <f t="shared" si="28"/>
        <v/>
      </c>
      <c r="F376" s="34" t="str">
        <f t="shared" si="29"/>
        <v/>
      </c>
      <c r="G376" s="14"/>
      <c r="H376" s="57"/>
      <c r="I376" s="111"/>
      <c r="J376" s="111"/>
      <c r="K376" s="112" t="str">
        <f t="shared" si="30"/>
        <v/>
      </c>
      <c r="L376" s="112" t="str">
        <f t="shared" si="31"/>
        <v/>
      </c>
    </row>
    <row r="377" spans="1:12" outlineLevel="1">
      <c r="A377" s="54"/>
      <c r="B377" s="25" t="s">
        <v>176</v>
      </c>
      <c r="C377" s="26" t="s">
        <v>26</v>
      </c>
      <c r="D377" s="27"/>
      <c r="E377" s="113" t="str">
        <f t="shared" si="28"/>
        <v/>
      </c>
      <c r="F377" s="34" t="str">
        <f t="shared" si="29"/>
        <v/>
      </c>
      <c r="G377" s="14"/>
      <c r="H377" s="57"/>
      <c r="I377" s="111"/>
      <c r="J377" s="111"/>
      <c r="K377" s="112" t="str">
        <f t="shared" si="30"/>
        <v/>
      </c>
      <c r="L377" s="112" t="str">
        <f t="shared" si="31"/>
        <v/>
      </c>
    </row>
    <row r="378" spans="1:12" outlineLevel="1">
      <c r="A378" s="54"/>
      <c r="B378" s="25" t="s">
        <v>24</v>
      </c>
      <c r="C378" s="26" t="s">
        <v>26</v>
      </c>
      <c r="D378" s="27"/>
      <c r="E378" s="113" t="str">
        <f t="shared" si="28"/>
        <v/>
      </c>
      <c r="F378" s="34" t="str">
        <f t="shared" si="29"/>
        <v/>
      </c>
      <c r="G378" s="14"/>
      <c r="H378" s="57"/>
      <c r="I378" s="111"/>
      <c r="J378" s="111"/>
      <c r="K378" s="112" t="str">
        <f t="shared" si="30"/>
        <v/>
      </c>
      <c r="L378" s="112" t="str">
        <f t="shared" si="31"/>
        <v/>
      </c>
    </row>
    <row r="379" spans="1:12" ht="15.75" customHeight="1" outlineLevel="1">
      <c r="A379" s="54"/>
      <c r="B379" s="25" t="s">
        <v>25</v>
      </c>
      <c r="C379" s="26" t="s">
        <v>26</v>
      </c>
      <c r="D379" s="27"/>
      <c r="E379" s="113" t="str">
        <f t="shared" si="28"/>
        <v/>
      </c>
      <c r="F379" s="34" t="str">
        <f t="shared" si="29"/>
        <v/>
      </c>
      <c r="G379" s="14"/>
      <c r="H379" s="57"/>
      <c r="I379" s="111"/>
      <c r="J379" s="111"/>
      <c r="K379" s="112" t="str">
        <f t="shared" si="30"/>
        <v/>
      </c>
      <c r="L379" s="112" t="str">
        <f t="shared" si="31"/>
        <v/>
      </c>
    </row>
    <row r="380" spans="1:12" ht="15.75" customHeight="1" outlineLevel="1">
      <c r="A380" s="54"/>
      <c r="B380" s="78"/>
      <c r="C380" s="26"/>
      <c r="D380" s="27"/>
      <c r="E380" s="113" t="str">
        <f t="shared" si="28"/>
        <v/>
      </c>
      <c r="F380" s="34" t="str">
        <f t="shared" si="29"/>
        <v/>
      </c>
      <c r="G380" s="14"/>
      <c r="H380" s="57"/>
      <c r="I380" s="111"/>
      <c r="J380" s="111"/>
      <c r="K380" s="112" t="str">
        <f t="shared" si="30"/>
        <v/>
      </c>
      <c r="L380" s="112" t="str">
        <f t="shared" si="31"/>
        <v/>
      </c>
    </row>
    <row r="381" spans="1:12">
      <c r="A381" s="54" t="s">
        <v>217</v>
      </c>
      <c r="B381" s="20" t="s">
        <v>18</v>
      </c>
      <c r="C381" s="26"/>
      <c r="D381" s="27"/>
      <c r="E381" s="113" t="str">
        <f t="shared" si="28"/>
        <v/>
      </c>
      <c r="F381" s="34" t="str">
        <f t="shared" si="29"/>
        <v/>
      </c>
      <c r="G381" s="14"/>
      <c r="H381" s="57"/>
      <c r="I381" s="111"/>
      <c r="J381" s="111"/>
      <c r="K381" s="112" t="str">
        <f t="shared" si="30"/>
        <v/>
      </c>
      <c r="L381" s="112" t="str">
        <f t="shared" si="31"/>
        <v/>
      </c>
    </row>
    <row r="382" spans="1:12" ht="15.75" customHeight="1" outlineLevel="1">
      <c r="A382" s="54"/>
      <c r="B382" s="8"/>
      <c r="C382" s="26"/>
      <c r="D382" s="27"/>
      <c r="E382" s="113" t="str">
        <f t="shared" si="28"/>
        <v/>
      </c>
      <c r="F382" s="34" t="str">
        <f t="shared" si="29"/>
        <v/>
      </c>
      <c r="G382" s="14"/>
      <c r="H382" s="57"/>
      <c r="I382" s="111"/>
      <c r="J382" s="111"/>
      <c r="K382" s="112" t="str">
        <f t="shared" si="30"/>
        <v/>
      </c>
      <c r="L382" s="112" t="str">
        <f t="shared" si="31"/>
        <v/>
      </c>
    </row>
    <row r="383" spans="1:12" ht="15.75" customHeight="1" outlineLevel="1">
      <c r="A383" s="54"/>
      <c r="B383" s="25" t="s">
        <v>22</v>
      </c>
      <c r="C383" s="26" t="s">
        <v>3</v>
      </c>
      <c r="D383" s="27"/>
      <c r="E383" s="113" t="str">
        <f t="shared" si="28"/>
        <v/>
      </c>
      <c r="F383" s="34" t="str">
        <f t="shared" si="29"/>
        <v/>
      </c>
      <c r="G383" s="14"/>
      <c r="H383" s="57"/>
      <c r="I383" s="111"/>
      <c r="J383" s="111"/>
      <c r="K383" s="112" t="str">
        <f t="shared" si="30"/>
        <v/>
      </c>
      <c r="L383" s="112" t="str">
        <f t="shared" si="31"/>
        <v/>
      </c>
    </row>
    <row r="384" spans="1:12" ht="15.75" customHeight="1" outlineLevel="1">
      <c r="A384" s="54"/>
      <c r="B384" s="25" t="s">
        <v>23</v>
      </c>
      <c r="C384" s="26" t="s">
        <v>26</v>
      </c>
      <c r="D384" s="27"/>
      <c r="E384" s="113" t="str">
        <f t="shared" si="28"/>
        <v/>
      </c>
      <c r="F384" s="34" t="str">
        <f t="shared" si="29"/>
        <v/>
      </c>
      <c r="G384" s="14"/>
      <c r="H384" s="57"/>
      <c r="I384" s="111"/>
      <c r="J384" s="111"/>
      <c r="K384" s="112" t="str">
        <f t="shared" si="30"/>
        <v/>
      </c>
      <c r="L384" s="112" t="str">
        <f t="shared" si="31"/>
        <v/>
      </c>
    </row>
    <row r="385" spans="1:12" ht="15.75" customHeight="1" outlineLevel="1">
      <c r="A385" s="54"/>
      <c r="B385" s="25" t="s">
        <v>176</v>
      </c>
      <c r="C385" s="26" t="s">
        <v>26</v>
      </c>
      <c r="D385" s="27"/>
      <c r="E385" s="113" t="str">
        <f t="shared" si="28"/>
        <v/>
      </c>
      <c r="F385" s="34" t="str">
        <f t="shared" si="29"/>
        <v/>
      </c>
      <c r="G385" s="14"/>
      <c r="H385" s="57"/>
      <c r="I385" s="111"/>
      <c r="J385" s="111"/>
      <c r="K385" s="112" t="str">
        <f t="shared" si="30"/>
        <v/>
      </c>
      <c r="L385" s="112" t="str">
        <f t="shared" si="31"/>
        <v/>
      </c>
    </row>
    <row r="386" spans="1:12" ht="15.75" customHeight="1" outlineLevel="1">
      <c r="A386" s="54"/>
      <c r="B386" s="25" t="s">
        <v>24</v>
      </c>
      <c r="C386" s="26" t="s">
        <v>26</v>
      </c>
      <c r="D386" s="27"/>
      <c r="E386" s="113" t="str">
        <f t="shared" si="28"/>
        <v/>
      </c>
      <c r="F386" s="34" t="str">
        <f t="shared" si="29"/>
        <v/>
      </c>
      <c r="G386" s="14"/>
      <c r="H386" s="57"/>
      <c r="I386" s="111"/>
      <c r="J386" s="111"/>
      <c r="K386" s="112" t="str">
        <f t="shared" si="30"/>
        <v/>
      </c>
      <c r="L386" s="112" t="str">
        <f t="shared" si="31"/>
        <v/>
      </c>
    </row>
    <row r="387" spans="1:12" ht="15.75" customHeight="1" outlineLevel="1">
      <c r="A387" s="54"/>
      <c r="B387" s="25" t="s">
        <v>25</v>
      </c>
      <c r="C387" s="26" t="s">
        <v>26</v>
      </c>
      <c r="D387" s="27"/>
      <c r="E387" s="113" t="str">
        <f t="shared" si="28"/>
        <v/>
      </c>
      <c r="F387" s="34" t="str">
        <f t="shared" si="29"/>
        <v/>
      </c>
      <c r="G387" s="14"/>
      <c r="H387" s="57"/>
      <c r="I387" s="111"/>
      <c r="J387" s="111"/>
      <c r="K387" s="112" t="str">
        <f t="shared" si="30"/>
        <v/>
      </c>
      <c r="L387" s="112" t="str">
        <f t="shared" si="31"/>
        <v/>
      </c>
    </row>
    <row r="388" spans="1:12" ht="15.75" customHeight="1" outlineLevel="1">
      <c r="A388" s="54"/>
      <c r="B388" s="12"/>
      <c r="C388" s="26"/>
      <c r="D388" s="27"/>
      <c r="E388" s="113" t="str">
        <f t="shared" si="28"/>
        <v/>
      </c>
      <c r="F388" s="34" t="str">
        <f t="shared" si="29"/>
        <v/>
      </c>
      <c r="G388" s="14"/>
      <c r="H388" s="57"/>
      <c r="I388" s="111"/>
      <c r="J388" s="111"/>
      <c r="K388" s="112" t="str">
        <f t="shared" si="30"/>
        <v/>
      </c>
      <c r="L388" s="112" t="str">
        <f t="shared" si="31"/>
        <v/>
      </c>
    </row>
    <row r="389" spans="1:12">
      <c r="A389" s="54" t="s">
        <v>218</v>
      </c>
      <c r="B389" s="21" t="s">
        <v>19</v>
      </c>
      <c r="C389" s="26"/>
      <c r="D389" s="27"/>
      <c r="E389" s="113" t="str">
        <f t="shared" si="28"/>
        <v/>
      </c>
      <c r="F389" s="34" t="str">
        <f t="shared" si="29"/>
        <v/>
      </c>
      <c r="G389" s="14"/>
      <c r="H389" s="57"/>
      <c r="I389" s="111"/>
      <c r="J389" s="111"/>
      <c r="K389" s="112" t="str">
        <f t="shared" si="30"/>
        <v/>
      </c>
      <c r="L389" s="112" t="str">
        <f t="shared" si="31"/>
        <v/>
      </c>
    </row>
    <row r="390" spans="1:12" ht="15.75" customHeight="1" outlineLevel="1">
      <c r="A390" s="54"/>
      <c r="B390" s="22"/>
      <c r="C390" s="26"/>
      <c r="D390" s="27"/>
      <c r="E390" s="113" t="str">
        <f t="shared" si="28"/>
        <v/>
      </c>
      <c r="F390" s="34" t="str">
        <f t="shared" si="29"/>
        <v/>
      </c>
      <c r="G390" s="14"/>
      <c r="H390" s="57"/>
      <c r="I390" s="111"/>
      <c r="J390" s="111"/>
      <c r="K390" s="112" t="str">
        <f t="shared" si="30"/>
        <v/>
      </c>
      <c r="L390" s="112" t="str">
        <f t="shared" si="31"/>
        <v/>
      </c>
    </row>
    <row r="391" spans="1:12" ht="15.75" customHeight="1" outlineLevel="1">
      <c r="A391" s="54"/>
      <c r="B391" s="25" t="s">
        <v>22</v>
      </c>
      <c r="C391" s="26" t="s">
        <v>3</v>
      </c>
      <c r="D391" s="27"/>
      <c r="E391" s="113" t="str">
        <f t="shared" si="28"/>
        <v/>
      </c>
      <c r="F391" s="34" t="str">
        <f t="shared" si="29"/>
        <v/>
      </c>
      <c r="G391" s="14"/>
      <c r="H391" s="57"/>
      <c r="I391" s="111"/>
      <c r="J391" s="111"/>
      <c r="K391" s="112" t="str">
        <f t="shared" si="30"/>
        <v/>
      </c>
      <c r="L391" s="112" t="str">
        <f t="shared" si="31"/>
        <v/>
      </c>
    </row>
    <row r="392" spans="1:12" ht="15.75" customHeight="1" outlineLevel="1">
      <c r="A392" s="54"/>
      <c r="B392" s="25" t="s">
        <v>23</v>
      </c>
      <c r="C392" s="26" t="s">
        <v>26</v>
      </c>
      <c r="D392" s="27"/>
      <c r="E392" s="113" t="str">
        <f t="shared" si="28"/>
        <v/>
      </c>
      <c r="F392" s="34" t="str">
        <f t="shared" si="29"/>
        <v/>
      </c>
      <c r="G392" s="14"/>
      <c r="H392" s="57"/>
      <c r="I392" s="111"/>
      <c r="J392" s="111"/>
      <c r="K392" s="112" t="str">
        <f t="shared" si="30"/>
        <v/>
      </c>
      <c r="L392" s="112" t="str">
        <f t="shared" si="31"/>
        <v/>
      </c>
    </row>
    <row r="393" spans="1:12" ht="15.75" customHeight="1" outlineLevel="1">
      <c r="A393" s="54"/>
      <c r="B393" s="25" t="s">
        <v>176</v>
      </c>
      <c r="C393" s="26" t="s">
        <v>26</v>
      </c>
      <c r="D393" s="27"/>
      <c r="E393" s="113" t="str">
        <f t="shared" si="28"/>
        <v/>
      </c>
      <c r="F393" s="34" t="str">
        <f t="shared" si="29"/>
        <v/>
      </c>
      <c r="G393" s="14"/>
      <c r="H393" s="57"/>
      <c r="I393" s="111"/>
      <c r="J393" s="111"/>
      <c r="K393" s="112" t="str">
        <f t="shared" si="30"/>
        <v/>
      </c>
      <c r="L393" s="112" t="str">
        <f t="shared" si="31"/>
        <v/>
      </c>
    </row>
    <row r="394" spans="1:12" ht="15.75" customHeight="1" outlineLevel="1">
      <c r="A394" s="54"/>
      <c r="B394" s="25" t="s">
        <v>24</v>
      </c>
      <c r="C394" s="26" t="s">
        <v>26</v>
      </c>
      <c r="D394" s="27"/>
      <c r="E394" s="113" t="str">
        <f t="shared" si="28"/>
        <v/>
      </c>
      <c r="F394" s="34" t="str">
        <f t="shared" si="29"/>
        <v/>
      </c>
      <c r="G394" s="14"/>
      <c r="H394" s="57"/>
      <c r="I394" s="111"/>
      <c r="J394" s="111"/>
      <c r="K394" s="112" t="str">
        <f t="shared" si="30"/>
        <v/>
      </c>
      <c r="L394" s="112" t="str">
        <f t="shared" si="31"/>
        <v/>
      </c>
    </row>
    <row r="395" spans="1:12" ht="15.75" customHeight="1" outlineLevel="1">
      <c r="A395" s="54"/>
      <c r="B395" s="25" t="s">
        <v>25</v>
      </c>
      <c r="C395" s="26" t="s">
        <v>26</v>
      </c>
      <c r="D395" s="27"/>
      <c r="E395" s="113" t="str">
        <f t="shared" si="28"/>
        <v/>
      </c>
      <c r="F395" s="34" t="str">
        <f t="shared" si="29"/>
        <v/>
      </c>
      <c r="G395" s="14"/>
      <c r="H395" s="57"/>
      <c r="I395" s="111"/>
      <c r="J395" s="111"/>
      <c r="K395" s="112" t="str">
        <f t="shared" si="30"/>
        <v/>
      </c>
      <c r="L395" s="112" t="str">
        <f t="shared" si="31"/>
        <v/>
      </c>
    </row>
    <row r="396" spans="1:12" ht="15.75" customHeight="1" outlineLevel="1">
      <c r="A396" s="54"/>
      <c r="B396" s="8"/>
      <c r="C396" s="26"/>
      <c r="D396" s="27"/>
      <c r="E396" s="113" t="str">
        <f t="shared" si="28"/>
        <v/>
      </c>
      <c r="F396" s="34" t="str">
        <f t="shared" si="29"/>
        <v/>
      </c>
      <c r="G396" s="14"/>
      <c r="H396" s="57"/>
      <c r="I396" s="111"/>
      <c r="J396" s="111"/>
      <c r="K396" s="112" t="str">
        <f t="shared" si="30"/>
        <v/>
      </c>
      <c r="L396" s="112" t="str">
        <f t="shared" si="31"/>
        <v/>
      </c>
    </row>
    <row r="397" spans="1:12" ht="31" outlineLevel="1">
      <c r="A397" s="54"/>
      <c r="B397" s="8" t="s">
        <v>434</v>
      </c>
      <c r="C397" s="26" t="s">
        <v>26</v>
      </c>
      <c r="D397" s="27"/>
      <c r="E397" s="113" t="str">
        <f t="shared" si="28"/>
        <v/>
      </c>
      <c r="F397" s="34" t="str">
        <f t="shared" si="29"/>
        <v/>
      </c>
      <c r="G397" s="14"/>
      <c r="H397" s="57"/>
      <c r="I397" s="111"/>
      <c r="J397" s="111"/>
      <c r="K397" s="112" t="str">
        <f t="shared" si="30"/>
        <v/>
      </c>
      <c r="L397" s="112" t="str">
        <f t="shared" si="31"/>
        <v/>
      </c>
    </row>
    <row r="398" spans="1:12" ht="15" customHeight="1" outlineLevel="1">
      <c r="A398" s="54"/>
      <c r="B398" s="22"/>
      <c r="C398" s="26"/>
      <c r="D398" s="27"/>
      <c r="E398" s="113" t="str">
        <f t="shared" si="28"/>
        <v/>
      </c>
      <c r="F398" s="34" t="str">
        <f t="shared" si="29"/>
        <v/>
      </c>
      <c r="G398" s="14"/>
      <c r="H398" s="57"/>
      <c r="I398" s="111"/>
      <c r="J398" s="111"/>
      <c r="K398" s="112" t="str">
        <f t="shared" si="30"/>
        <v/>
      </c>
      <c r="L398" s="112" t="str">
        <f t="shared" si="31"/>
        <v/>
      </c>
    </row>
    <row r="399" spans="1:12">
      <c r="A399" s="54" t="s">
        <v>219</v>
      </c>
      <c r="B399" s="21" t="s">
        <v>272</v>
      </c>
      <c r="C399" s="26"/>
      <c r="D399" s="27"/>
      <c r="E399" s="113" t="str">
        <f t="shared" si="28"/>
        <v/>
      </c>
      <c r="F399" s="34" t="str">
        <f t="shared" si="29"/>
        <v/>
      </c>
      <c r="G399" s="14"/>
      <c r="H399" s="57"/>
      <c r="I399" s="111"/>
      <c r="J399" s="111"/>
      <c r="K399" s="112" t="str">
        <f t="shared" si="30"/>
        <v/>
      </c>
      <c r="L399" s="112" t="str">
        <f t="shared" si="31"/>
        <v/>
      </c>
    </row>
    <row r="400" spans="1:12" outlineLevel="1">
      <c r="A400" s="54"/>
      <c r="B400" s="22"/>
      <c r="C400" s="26"/>
      <c r="D400" s="27"/>
      <c r="E400" s="113" t="str">
        <f t="shared" si="28"/>
        <v/>
      </c>
      <c r="F400" s="34" t="str">
        <f t="shared" si="29"/>
        <v/>
      </c>
      <c r="G400" s="14"/>
      <c r="H400" s="57"/>
      <c r="I400" s="111"/>
      <c r="J400" s="111"/>
      <c r="K400" s="112" t="str">
        <f t="shared" si="30"/>
        <v/>
      </c>
      <c r="L400" s="112" t="str">
        <f t="shared" si="31"/>
        <v/>
      </c>
    </row>
    <row r="401" spans="1:12" outlineLevel="1">
      <c r="A401" s="54"/>
      <c r="B401" s="22" t="s">
        <v>279</v>
      </c>
      <c r="C401" s="26"/>
      <c r="D401" s="27"/>
      <c r="E401" s="113" t="str">
        <f t="shared" si="28"/>
        <v/>
      </c>
      <c r="F401" s="34" t="str">
        <f t="shared" si="29"/>
        <v/>
      </c>
      <c r="G401" s="14"/>
      <c r="H401" s="57"/>
      <c r="I401" s="111"/>
      <c r="J401" s="111"/>
      <c r="K401" s="112" t="str">
        <f t="shared" si="30"/>
        <v/>
      </c>
      <c r="L401" s="112" t="str">
        <f t="shared" si="31"/>
        <v/>
      </c>
    </row>
    <row r="402" spans="1:12" outlineLevel="1">
      <c r="A402" s="54"/>
      <c r="B402" s="22" t="s">
        <v>293</v>
      </c>
      <c r="C402" s="26"/>
      <c r="D402" s="27"/>
      <c r="E402" s="113" t="str">
        <f t="shared" si="28"/>
        <v/>
      </c>
      <c r="F402" s="34" t="str">
        <f t="shared" si="29"/>
        <v/>
      </c>
      <c r="G402" s="14"/>
      <c r="H402" s="57"/>
      <c r="I402" s="111"/>
      <c r="J402" s="111"/>
      <c r="K402" s="112" t="str">
        <f t="shared" si="30"/>
        <v/>
      </c>
      <c r="L402" s="112" t="str">
        <f t="shared" si="31"/>
        <v/>
      </c>
    </row>
    <row r="403" spans="1:12" outlineLevel="1">
      <c r="A403" s="54"/>
      <c r="B403" s="22" t="s">
        <v>40</v>
      </c>
      <c r="C403" s="26"/>
      <c r="D403" s="27"/>
      <c r="E403" s="113" t="str">
        <f t="shared" si="28"/>
        <v/>
      </c>
      <c r="F403" s="34" t="str">
        <f t="shared" si="29"/>
        <v/>
      </c>
      <c r="G403" s="14"/>
      <c r="H403" s="57"/>
      <c r="I403" s="111"/>
      <c r="J403" s="111"/>
      <c r="K403" s="112" t="str">
        <f t="shared" si="30"/>
        <v/>
      </c>
      <c r="L403" s="112" t="str">
        <f t="shared" si="31"/>
        <v/>
      </c>
    </row>
    <row r="404" spans="1:12" outlineLevel="1">
      <c r="A404" s="54"/>
      <c r="B404" s="22" t="s">
        <v>280</v>
      </c>
      <c r="C404" s="26"/>
      <c r="D404" s="27"/>
      <c r="E404" s="113" t="str">
        <f t="shared" si="28"/>
        <v/>
      </c>
      <c r="F404" s="34" t="str">
        <f t="shared" si="29"/>
        <v/>
      </c>
      <c r="G404" s="14"/>
      <c r="H404" s="57"/>
      <c r="I404" s="111"/>
      <c r="J404" s="111"/>
      <c r="K404" s="112" t="str">
        <f t="shared" si="30"/>
        <v/>
      </c>
      <c r="L404" s="112" t="str">
        <f t="shared" si="31"/>
        <v/>
      </c>
    </row>
    <row r="405" spans="1:12" outlineLevel="1">
      <c r="A405" s="54"/>
      <c r="B405" s="22" t="s">
        <v>42</v>
      </c>
      <c r="C405" s="26"/>
      <c r="D405" s="27"/>
      <c r="E405" s="113" t="str">
        <f t="shared" si="28"/>
        <v/>
      </c>
      <c r="F405" s="34" t="str">
        <f t="shared" si="29"/>
        <v/>
      </c>
      <c r="G405" s="14"/>
      <c r="H405" s="57"/>
      <c r="I405" s="111"/>
      <c r="J405" s="111"/>
      <c r="K405" s="112" t="str">
        <f t="shared" si="30"/>
        <v/>
      </c>
      <c r="L405" s="112" t="str">
        <f t="shared" si="31"/>
        <v/>
      </c>
    </row>
    <row r="406" spans="1:12" outlineLevel="1">
      <c r="A406" s="54"/>
      <c r="B406" s="22" t="s">
        <v>43</v>
      </c>
      <c r="C406" s="26"/>
      <c r="D406" s="27"/>
      <c r="E406" s="113" t="str">
        <f t="shared" si="28"/>
        <v/>
      </c>
      <c r="F406" s="34" t="str">
        <f t="shared" si="29"/>
        <v/>
      </c>
      <c r="G406" s="14"/>
      <c r="H406" s="57"/>
      <c r="I406" s="111"/>
      <c r="J406" s="111"/>
      <c r="K406" s="112" t="str">
        <f t="shared" si="30"/>
        <v/>
      </c>
      <c r="L406" s="112" t="str">
        <f t="shared" si="31"/>
        <v/>
      </c>
    </row>
    <row r="407" spans="1:12" outlineLevel="1">
      <c r="A407" s="54"/>
      <c r="B407" s="22" t="s">
        <v>277</v>
      </c>
      <c r="C407" s="26"/>
      <c r="D407" s="27"/>
      <c r="E407" s="113" t="str">
        <f t="shared" si="28"/>
        <v/>
      </c>
      <c r="F407" s="34" t="str">
        <f t="shared" si="29"/>
        <v/>
      </c>
      <c r="G407" s="14"/>
      <c r="H407" s="57"/>
      <c r="I407" s="111"/>
      <c r="J407" s="111"/>
      <c r="K407" s="112" t="str">
        <f t="shared" si="30"/>
        <v/>
      </c>
      <c r="L407" s="112" t="str">
        <f t="shared" si="31"/>
        <v/>
      </c>
    </row>
    <row r="408" spans="1:12" outlineLevel="1">
      <c r="A408" s="54"/>
      <c r="B408" s="22" t="s">
        <v>278</v>
      </c>
      <c r="C408" s="26"/>
      <c r="D408" s="27"/>
      <c r="E408" s="113" t="str">
        <f t="shared" si="28"/>
        <v/>
      </c>
      <c r="F408" s="34" t="str">
        <f t="shared" si="29"/>
        <v/>
      </c>
      <c r="G408" s="14"/>
      <c r="H408" s="57"/>
      <c r="I408" s="111"/>
      <c r="J408" s="111"/>
      <c r="K408" s="112" t="str">
        <f t="shared" si="30"/>
        <v/>
      </c>
      <c r="L408" s="112" t="str">
        <f t="shared" si="31"/>
        <v/>
      </c>
    </row>
    <row r="409" spans="1:12" outlineLevel="1">
      <c r="A409" s="54"/>
      <c r="B409" s="22" t="s">
        <v>25</v>
      </c>
      <c r="C409" s="26"/>
      <c r="D409" s="27"/>
      <c r="E409" s="113" t="str">
        <f t="shared" si="28"/>
        <v/>
      </c>
      <c r="F409" s="34" t="str">
        <f t="shared" si="29"/>
        <v/>
      </c>
      <c r="G409" s="14"/>
      <c r="H409" s="57"/>
      <c r="I409" s="111"/>
      <c r="J409" s="111"/>
      <c r="K409" s="112" t="str">
        <f t="shared" si="30"/>
        <v/>
      </c>
      <c r="L409" s="112" t="str">
        <f t="shared" si="31"/>
        <v/>
      </c>
    </row>
    <row r="410" spans="1:12" outlineLevel="1">
      <c r="A410" s="54"/>
      <c r="B410" s="22"/>
      <c r="C410" s="26"/>
      <c r="D410" s="27"/>
      <c r="E410" s="113" t="str">
        <f t="shared" si="28"/>
        <v/>
      </c>
      <c r="F410" s="34" t="str">
        <f t="shared" si="29"/>
        <v/>
      </c>
      <c r="G410" s="14"/>
      <c r="H410" s="57"/>
      <c r="I410" s="111"/>
      <c r="J410" s="111"/>
      <c r="K410" s="112" t="str">
        <f t="shared" si="30"/>
        <v/>
      </c>
      <c r="L410" s="112" t="str">
        <f t="shared" si="31"/>
        <v/>
      </c>
    </row>
    <row r="411" spans="1:12" outlineLevel="1">
      <c r="A411" s="54"/>
      <c r="B411" s="22" t="s">
        <v>301</v>
      </c>
      <c r="C411" s="26" t="s">
        <v>5</v>
      </c>
      <c r="D411" s="27"/>
      <c r="E411" s="113" t="str">
        <f t="shared" si="28"/>
        <v/>
      </c>
      <c r="F411" s="34" t="str">
        <f t="shared" si="29"/>
        <v/>
      </c>
      <c r="G411" s="14"/>
      <c r="H411" s="57"/>
      <c r="I411" s="111"/>
      <c r="J411" s="111"/>
      <c r="K411" s="112" t="str">
        <f t="shared" si="30"/>
        <v/>
      </c>
      <c r="L411" s="112" t="str">
        <f t="shared" si="31"/>
        <v/>
      </c>
    </row>
    <row r="412" spans="1:12" outlineLevel="1">
      <c r="A412" s="54"/>
      <c r="B412" s="22" t="s">
        <v>302</v>
      </c>
      <c r="C412" s="26" t="s">
        <v>5</v>
      </c>
      <c r="D412" s="27"/>
      <c r="E412" s="113" t="str">
        <f t="shared" si="28"/>
        <v/>
      </c>
      <c r="F412" s="34" t="str">
        <f t="shared" si="29"/>
        <v/>
      </c>
      <c r="G412" s="14"/>
      <c r="H412" s="57"/>
      <c r="I412" s="111"/>
      <c r="J412" s="111"/>
      <c r="K412" s="112" t="str">
        <f t="shared" si="30"/>
        <v/>
      </c>
      <c r="L412" s="112" t="str">
        <f t="shared" si="31"/>
        <v/>
      </c>
    </row>
    <row r="413" spans="1:12" outlineLevel="1">
      <c r="A413" s="54"/>
      <c r="B413" s="22" t="s">
        <v>303</v>
      </c>
      <c r="C413" s="26" t="s">
        <v>5</v>
      </c>
      <c r="D413" s="27"/>
      <c r="E413" s="113" t="str">
        <f t="shared" si="28"/>
        <v/>
      </c>
      <c r="F413" s="34" t="str">
        <f t="shared" si="29"/>
        <v/>
      </c>
      <c r="G413" s="14"/>
      <c r="H413" s="57"/>
      <c r="I413" s="111"/>
      <c r="J413" s="111"/>
      <c r="K413" s="112" t="str">
        <f t="shared" si="30"/>
        <v/>
      </c>
      <c r="L413" s="112" t="str">
        <f t="shared" si="31"/>
        <v/>
      </c>
    </row>
    <row r="414" spans="1:12" outlineLevel="1">
      <c r="A414" s="54"/>
      <c r="B414" s="22" t="s">
        <v>304</v>
      </c>
      <c r="C414" s="26" t="s">
        <v>5</v>
      </c>
      <c r="D414" s="27"/>
      <c r="E414" s="113" t="str">
        <f t="shared" si="28"/>
        <v/>
      </c>
      <c r="F414" s="34" t="str">
        <f t="shared" si="29"/>
        <v/>
      </c>
      <c r="G414" s="14"/>
      <c r="H414" s="57"/>
      <c r="I414" s="111"/>
      <c r="J414" s="111"/>
      <c r="K414" s="112" t="str">
        <f t="shared" si="30"/>
        <v/>
      </c>
      <c r="L414" s="112" t="str">
        <f t="shared" si="31"/>
        <v/>
      </c>
    </row>
    <row r="415" spans="1:12" outlineLevel="1">
      <c r="A415" s="54"/>
      <c r="B415" s="22" t="s">
        <v>305</v>
      </c>
      <c r="C415" s="26" t="s">
        <v>5</v>
      </c>
      <c r="D415" s="27"/>
      <c r="E415" s="113" t="str">
        <f t="shared" si="28"/>
        <v/>
      </c>
      <c r="F415" s="34" t="str">
        <f t="shared" si="29"/>
        <v/>
      </c>
      <c r="G415" s="14"/>
      <c r="H415" s="57"/>
      <c r="I415" s="111"/>
      <c r="J415" s="111"/>
      <c r="K415" s="112" t="str">
        <f t="shared" si="30"/>
        <v/>
      </c>
      <c r="L415" s="112" t="str">
        <f t="shared" si="31"/>
        <v/>
      </c>
    </row>
    <row r="416" spans="1:12" outlineLevel="1">
      <c r="A416" s="54"/>
      <c r="B416" s="22" t="s">
        <v>306</v>
      </c>
      <c r="C416" s="26" t="s">
        <v>5</v>
      </c>
      <c r="D416" s="27"/>
      <c r="E416" s="113" t="str">
        <f t="shared" si="28"/>
        <v/>
      </c>
      <c r="F416" s="34" t="str">
        <f t="shared" si="29"/>
        <v/>
      </c>
      <c r="G416" s="14"/>
      <c r="H416" s="57"/>
      <c r="I416" s="111"/>
      <c r="J416" s="111"/>
      <c r="K416" s="112" t="str">
        <f t="shared" si="30"/>
        <v/>
      </c>
      <c r="L416" s="112" t="str">
        <f t="shared" si="31"/>
        <v/>
      </c>
    </row>
    <row r="417" spans="1:12" outlineLevel="1">
      <c r="A417" s="54"/>
      <c r="B417" s="22" t="s">
        <v>307</v>
      </c>
      <c r="C417" s="26" t="s">
        <v>5</v>
      </c>
      <c r="D417" s="27"/>
      <c r="E417" s="113" t="str">
        <f t="shared" si="28"/>
        <v/>
      </c>
      <c r="F417" s="34" t="str">
        <f t="shared" si="29"/>
        <v/>
      </c>
      <c r="G417" s="14"/>
      <c r="H417" s="57"/>
      <c r="I417" s="111"/>
      <c r="J417" s="111"/>
      <c r="K417" s="112" t="str">
        <f t="shared" si="30"/>
        <v/>
      </c>
      <c r="L417" s="112" t="str">
        <f t="shared" si="31"/>
        <v/>
      </c>
    </row>
    <row r="418" spans="1:12" outlineLevel="1">
      <c r="A418" s="54"/>
      <c r="B418" s="22" t="s">
        <v>308</v>
      </c>
      <c r="C418" s="26" t="s">
        <v>5</v>
      </c>
      <c r="D418" s="27"/>
      <c r="E418" s="113" t="str">
        <f t="shared" si="28"/>
        <v/>
      </c>
      <c r="F418" s="34" t="str">
        <f t="shared" si="29"/>
        <v/>
      </c>
      <c r="G418" s="14"/>
      <c r="H418" s="57"/>
      <c r="I418" s="111"/>
      <c r="J418" s="111"/>
      <c r="K418" s="112" t="str">
        <f t="shared" si="30"/>
        <v/>
      </c>
      <c r="L418" s="112" t="str">
        <f t="shared" si="31"/>
        <v/>
      </c>
    </row>
    <row r="419" spans="1:12" outlineLevel="1">
      <c r="A419" s="54"/>
      <c r="B419" s="22" t="s">
        <v>309</v>
      </c>
      <c r="C419" s="26" t="s">
        <v>5</v>
      </c>
      <c r="D419" s="27"/>
      <c r="E419" s="113" t="str">
        <f t="shared" si="28"/>
        <v/>
      </c>
      <c r="F419" s="34" t="str">
        <f t="shared" si="29"/>
        <v/>
      </c>
      <c r="G419" s="14"/>
      <c r="H419" s="57"/>
      <c r="I419" s="111"/>
      <c r="J419" s="111"/>
      <c r="K419" s="112" t="str">
        <f t="shared" si="30"/>
        <v/>
      </c>
      <c r="L419" s="112" t="str">
        <f t="shared" si="31"/>
        <v/>
      </c>
    </row>
    <row r="420" spans="1:12" outlineLevel="1">
      <c r="A420" s="54"/>
      <c r="B420" s="22" t="s">
        <v>309</v>
      </c>
      <c r="C420" s="26" t="s">
        <v>5</v>
      </c>
      <c r="D420" s="27"/>
      <c r="E420" s="113" t="str">
        <f t="shared" si="28"/>
        <v/>
      </c>
      <c r="F420" s="34" t="str">
        <f t="shared" si="29"/>
        <v/>
      </c>
      <c r="G420" s="14"/>
      <c r="H420" s="57"/>
      <c r="I420" s="111"/>
      <c r="J420" s="111"/>
      <c r="K420" s="112" t="str">
        <f t="shared" si="30"/>
        <v/>
      </c>
      <c r="L420" s="112" t="str">
        <f t="shared" si="31"/>
        <v/>
      </c>
    </row>
    <row r="421" spans="1:12" outlineLevel="1">
      <c r="A421" s="54"/>
      <c r="B421" s="22" t="s">
        <v>309</v>
      </c>
      <c r="C421" s="26" t="s">
        <v>5</v>
      </c>
      <c r="D421" s="27"/>
      <c r="E421" s="113" t="str">
        <f t="shared" si="28"/>
        <v/>
      </c>
      <c r="F421" s="34" t="str">
        <f t="shared" si="29"/>
        <v/>
      </c>
      <c r="G421" s="14"/>
      <c r="H421" s="57"/>
      <c r="I421" s="111"/>
      <c r="J421" s="111"/>
      <c r="K421" s="112" t="str">
        <f t="shared" si="30"/>
        <v/>
      </c>
      <c r="L421" s="112" t="str">
        <f t="shared" si="31"/>
        <v/>
      </c>
    </row>
    <row r="422" spans="1:12" outlineLevel="1">
      <c r="A422" s="54"/>
      <c r="B422" s="22" t="s">
        <v>309</v>
      </c>
      <c r="C422" s="26" t="s">
        <v>5</v>
      </c>
      <c r="D422" s="27"/>
      <c r="E422" s="113" t="str">
        <f t="shared" si="28"/>
        <v/>
      </c>
      <c r="F422" s="34" t="str">
        <f t="shared" si="29"/>
        <v/>
      </c>
      <c r="G422" s="14"/>
      <c r="H422" s="57"/>
      <c r="I422" s="111"/>
      <c r="J422" s="111"/>
      <c r="K422" s="112" t="str">
        <f t="shared" si="30"/>
        <v/>
      </c>
      <c r="L422" s="112" t="str">
        <f t="shared" si="31"/>
        <v/>
      </c>
    </row>
    <row r="423" spans="1:12" outlineLevel="1">
      <c r="A423" s="54"/>
      <c r="B423" s="22"/>
      <c r="C423" s="46"/>
      <c r="D423" s="27"/>
      <c r="E423" s="113" t="str">
        <f t="shared" si="28"/>
        <v/>
      </c>
      <c r="F423" s="34" t="str">
        <f t="shared" si="29"/>
        <v/>
      </c>
      <c r="G423" s="14"/>
      <c r="H423" s="57"/>
      <c r="I423" s="111"/>
      <c r="J423" s="111"/>
      <c r="K423" s="112" t="str">
        <f t="shared" si="30"/>
        <v/>
      </c>
      <c r="L423" s="112" t="str">
        <f t="shared" si="31"/>
        <v/>
      </c>
    </row>
    <row r="424" spans="1:12">
      <c r="A424" s="54" t="s">
        <v>220</v>
      </c>
      <c r="B424" s="76" t="s">
        <v>315</v>
      </c>
      <c r="C424" s="26"/>
      <c r="D424" s="27"/>
      <c r="E424" s="113" t="str">
        <f t="shared" si="28"/>
        <v/>
      </c>
      <c r="F424" s="34" t="str">
        <f t="shared" si="29"/>
        <v/>
      </c>
      <c r="G424" s="14"/>
      <c r="H424" s="57"/>
      <c r="I424" s="111"/>
      <c r="J424" s="111"/>
      <c r="K424" s="112" t="str">
        <f t="shared" si="30"/>
        <v/>
      </c>
      <c r="L424" s="112" t="str">
        <f t="shared" si="31"/>
        <v/>
      </c>
    </row>
    <row r="425" spans="1:12" outlineLevel="1">
      <c r="A425" s="54"/>
      <c r="B425" s="8"/>
      <c r="C425" s="26"/>
      <c r="D425" s="27"/>
      <c r="E425" s="113" t="str">
        <f t="shared" si="28"/>
        <v/>
      </c>
      <c r="F425" s="34" t="str">
        <f t="shared" si="29"/>
        <v/>
      </c>
      <c r="G425" s="14"/>
      <c r="H425" s="57"/>
      <c r="I425" s="111"/>
      <c r="J425" s="111"/>
      <c r="K425" s="112" t="str">
        <f t="shared" si="30"/>
        <v/>
      </c>
      <c r="L425" s="112" t="str">
        <f t="shared" si="31"/>
        <v/>
      </c>
    </row>
    <row r="426" spans="1:12" outlineLevel="1">
      <c r="A426" s="54"/>
      <c r="B426" s="8" t="s">
        <v>56</v>
      </c>
      <c r="C426" s="26" t="s">
        <v>4</v>
      </c>
      <c r="D426" s="27"/>
      <c r="E426" s="113" t="str">
        <f t="shared" si="28"/>
        <v/>
      </c>
      <c r="F426" s="34" t="str">
        <f t="shared" si="29"/>
        <v/>
      </c>
      <c r="G426" s="14"/>
      <c r="H426" s="57"/>
      <c r="I426" s="111"/>
      <c r="J426" s="111"/>
      <c r="K426" s="112" t="str">
        <f t="shared" si="30"/>
        <v/>
      </c>
      <c r="L426" s="112" t="str">
        <f t="shared" si="31"/>
        <v/>
      </c>
    </row>
    <row r="427" spans="1:12" outlineLevel="1">
      <c r="A427" s="54"/>
      <c r="B427" s="8" t="s">
        <v>57</v>
      </c>
      <c r="C427" s="26" t="s">
        <v>4</v>
      </c>
      <c r="D427" s="27"/>
      <c r="E427" s="113" t="str">
        <f t="shared" si="28"/>
        <v/>
      </c>
      <c r="F427" s="34" t="str">
        <f t="shared" si="29"/>
        <v/>
      </c>
      <c r="G427" s="14"/>
      <c r="H427" s="57"/>
      <c r="I427" s="111"/>
      <c r="J427" s="111"/>
      <c r="K427" s="112" t="str">
        <f t="shared" si="30"/>
        <v/>
      </c>
      <c r="L427" s="112" t="str">
        <f t="shared" si="31"/>
        <v/>
      </c>
    </row>
    <row r="428" spans="1:12" outlineLevel="1">
      <c r="A428" s="54"/>
      <c r="B428" s="8" t="s">
        <v>199</v>
      </c>
      <c r="C428" s="26" t="s">
        <v>4</v>
      </c>
      <c r="D428" s="27"/>
      <c r="E428" s="113" t="str">
        <f t="shared" si="28"/>
        <v/>
      </c>
      <c r="F428" s="34" t="str">
        <f t="shared" si="29"/>
        <v/>
      </c>
      <c r="G428" s="14"/>
      <c r="H428" s="57"/>
      <c r="I428" s="111"/>
      <c r="J428" s="111"/>
      <c r="K428" s="112" t="str">
        <f t="shared" si="30"/>
        <v/>
      </c>
      <c r="L428" s="112" t="str">
        <f t="shared" si="31"/>
        <v/>
      </c>
    </row>
    <row r="429" spans="1:12" outlineLevel="1">
      <c r="A429" s="54"/>
      <c r="B429" s="8" t="s">
        <v>373</v>
      </c>
      <c r="C429" s="26" t="s">
        <v>3</v>
      </c>
      <c r="D429" s="27"/>
      <c r="E429" s="113" t="str">
        <f t="shared" si="28"/>
        <v/>
      </c>
      <c r="F429" s="34" t="str">
        <f t="shared" si="29"/>
        <v/>
      </c>
      <c r="G429" s="14"/>
      <c r="H429" s="57"/>
      <c r="I429" s="111"/>
      <c r="J429" s="111"/>
      <c r="K429" s="112" t="str">
        <f t="shared" si="30"/>
        <v/>
      </c>
      <c r="L429" s="112" t="str">
        <f t="shared" si="31"/>
        <v/>
      </c>
    </row>
    <row r="430" spans="1:12" outlineLevel="1">
      <c r="A430" s="54"/>
      <c r="B430" s="8"/>
      <c r="C430" s="26"/>
      <c r="D430" s="27"/>
      <c r="E430" s="113" t="str">
        <f t="shared" si="28"/>
        <v/>
      </c>
      <c r="F430" s="34" t="str">
        <f t="shared" si="29"/>
        <v/>
      </c>
      <c r="G430" s="14"/>
      <c r="H430" s="57"/>
      <c r="I430" s="111"/>
      <c r="J430" s="111"/>
      <c r="K430" s="112" t="str">
        <f t="shared" si="30"/>
        <v/>
      </c>
      <c r="L430" s="112" t="str">
        <f t="shared" si="31"/>
        <v/>
      </c>
    </row>
    <row r="431" spans="1:12">
      <c r="A431" s="54" t="s">
        <v>221</v>
      </c>
      <c r="B431" s="76" t="s">
        <v>178</v>
      </c>
      <c r="C431" s="26"/>
      <c r="D431" s="27"/>
      <c r="E431" s="113" t="str">
        <f t="shared" si="28"/>
        <v/>
      </c>
      <c r="F431" s="34" t="str">
        <f t="shared" si="29"/>
        <v/>
      </c>
      <c r="G431" s="14"/>
      <c r="H431" s="57"/>
      <c r="I431" s="111"/>
      <c r="J431" s="111"/>
      <c r="K431" s="112" t="str">
        <f t="shared" si="30"/>
        <v/>
      </c>
      <c r="L431" s="112" t="str">
        <f t="shared" si="31"/>
        <v/>
      </c>
    </row>
    <row r="432" spans="1:12" outlineLevel="1">
      <c r="A432" s="54"/>
      <c r="B432" s="8"/>
      <c r="C432" s="26"/>
      <c r="D432" s="27"/>
      <c r="E432" s="113" t="str">
        <f t="shared" si="28"/>
        <v/>
      </c>
      <c r="F432" s="34" t="str">
        <f t="shared" si="29"/>
        <v/>
      </c>
      <c r="G432" s="14"/>
      <c r="H432" s="57"/>
      <c r="I432" s="111"/>
      <c r="J432" s="111"/>
      <c r="K432" s="112" t="str">
        <f t="shared" si="30"/>
        <v/>
      </c>
      <c r="L432" s="112" t="str">
        <f t="shared" si="31"/>
        <v/>
      </c>
    </row>
    <row r="433" spans="1:12" outlineLevel="1">
      <c r="A433" s="54"/>
      <c r="B433" s="22" t="s">
        <v>47</v>
      </c>
      <c r="C433" s="26" t="s">
        <v>4</v>
      </c>
      <c r="D433" s="27"/>
      <c r="E433" s="113" t="str">
        <f t="shared" si="28"/>
        <v/>
      </c>
      <c r="F433" s="34" t="str">
        <f t="shared" si="29"/>
        <v/>
      </c>
      <c r="G433" s="14"/>
      <c r="H433" s="57"/>
      <c r="I433" s="111"/>
      <c r="J433" s="111"/>
      <c r="K433" s="112" t="str">
        <f t="shared" si="30"/>
        <v/>
      </c>
      <c r="L433" s="112" t="str">
        <f t="shared" si="31"/>
        <v/>
      </c>
    </row>
    <row r="434" spans="1:12" outlineLevel="1">
      <c r="A434" s="54"/>
      <c r="B434" s="22" t="s">
        <v>48</v>
      </c>
      <c r="C434" s="26" t="s">
        <v>26</v>
      </c>
      <c r="D434" s="27"/>
      <c r="E434" s="113" t="str">
        <f t="shared" si="28"/>
        <v/>
      </c>
      <c r="F434" s="34" t="str">
        <f t="shared" si="29"/>
        <v/>
      </c>
      <c r="G434" s="14"/>
      <c r="H434" s="57"/>
      <c r="I434" s="111"/>
      <c r="J434" s="111"/>
      <c r="K434" s="112" t="str">
        <f t="shared" si="30"/>
        <v/>
      </c>
      <c r="L434" s="112" t="str">
        <f t="shared" si="31"/>
        <v/>
      </c>
    </row>
    <row r="435" spans="1:12" outlineLevel="1">
      <c r="A435" s="54"/>
      <c r="B435" s="22" t="s">
        <v>52</v>
      </c>
      <c r="C435" s="26" t="s">
        <v>26</v>
      </c>
      <c r="D435" s="27"/>
      <c r="E435" s="113" t="str">
        <f t="shared" si="28"/>
        <v/>
      </c>
      <c r="F435" s="34" t="str">
        <f t="shared" si="29"/>
        <v/>
      </c>
      <c r="G435" s="14"/>
      <c r="H435" s="57"/>
      <c r="I435" s="111"/>
      <c r="J435" s="111"/>
      <c r="K435" s="112" t="str">
        <f t="shared" si="30"/>
        <v/>
      </c>
      <c r="L435" s="112" t="str">
        <f t="shared" si="31"/>
        <v/>
      </c>
    </row>
    <row r="436" spans="1:12" outlineLevel="1">
      <c r="A436" s="54"/>
      <c r="B436" s="22" t="s">
        <v>312</v>
      </c>
      <c r="C436" s="26" t="s">
        <v>4</v>
      </c>
      <c r="D436" s="27"/>
      <c r="E436" s="113" t="str">
        <f t="shared" si="28"/>
        <v/>
      </c>
      <c r="F436" s="34" t="str">
        <f t="shared" si="29"/>
        <v/>
      </c>
      <c r="G436" s="14"/>
      <c r="H436" s="57"/>
      <c r="I436" s="111"/>
      <c r="J436" s="111"/>
      <c r="K436" s="112" t="str">
        <f t="shared" si="30"/>
        <v/>
      </c>
      <c r="L436" s="112" t="str">
        <f t="shared" si="31"/>
        <v/>
      </c>
    </row>
    <row r="437" spans="1:12" outlineLevel="1">
      <c r="A437" s="54"/>
      <c r="B437" s="22" t="s">
        <v>435</v>
      </c>
      <c r="C437" s="26" t="s">
        <v>26</v>
      </c>
      <c r="D437" s="27"/>
      <c r="E437" s="113" t="str">
        <f t="shared" ref="E437:E488" si="32">IF(D437="","",(((K437*$L$2)+(L437*$J$2*$J$3))*$L$3)/D437)</f>
        <v/>
      </c>
      <c r="F437" s="34" t="str">
        <f t="shared" ref="F437:F488" si="33">IF(D437="","",D437*E437)</f>
        <v/>
      </c>
      <c r="G437" s="14"/>
      <c r="H437" s="57"/>
      <c r="I437" s="111"/>
      <c r="J437" s="111"/>
      <c r="K437" s="112" t="str">
        <f t="shared" ref="K437:K488" si="34">IF(D437="","",I437*D437)</f>
        <v/>
      </c>
      <c r="L437" s="112" t="str">
        <f t="shared" ref="L437:L488" si="35">IF(D437="","",D437*J437)</f>
        <v/>
      </c>
    </row>
    <row r="438" spans="1:12" outlineLevel="1">
      <c r="A438" s="54"/>
      <c r="B438" s="22" t="s">
        <v>49</v>
      </c>
      <c r="C438" s="26" t="s">
        <v>26</v>
      </c>
      <c r="D438" s="27"/>
      <c r="E438" s="113" t="str">
        <f t="shared" si="32"/>
        <v/>
      </c>
      <c r="F438" s="34" t="str">
        <f t="shared" si="33"/>
        <v/>
      </c>
      <c r="G438" s="14"/>
      <c r="H438" s="57"/>
      <c r="I438" s="111"/>
      <c r="J438" s="111"/>
      <c r="K438" s="112" t="str">
        <f t="shared" si="34"/>
        <v/>
      </c>
      <c r="L438" s="112" t="str">
        <f t="shared" si="35"/>
        <v/>
      </c>
    </row>
    <row r="439" spans="1:12" outlineLevel="1">
      <c r="A439" s="54"/>
      <c r="B439" s="22" t="s">
        <v>50</v>
      </c>
      <c r="C439" s="26" t="s">
        <v>26</v>
      </c>
      <c r="D439" s="27"/>
      <c r="E439" s="113" t="str">
        <f t="shared" si="32"/>
        <v/>
      </c>
      <c r="F439" s="34" t="str">
        <f t="shared" si="33"/>
        <v/>
      </c>
      <c r="G439" s="14"/>
      <c r="H439" s="57"/>
      <c r="I439" s="111"/>
      <c r="J439" s="111"/>
      <c r="K439" s="112" t="str">
        <f t="shared" si="34"/>
        <v/>
      </c>
      <c r="L439" s="112" t="str">
        <f t="shared" si="35"/>
        <v/>
      </c>
    </row>
    <row r="440" spans="1:12" outlineLevel="1">
      <c r="A440" s="54"/>
      <c r="B440" s="22" t="s">
        <v>51</v>
      </c>
      <c r="C440" s="26" t="s">
        <v>26</v>
      </c>
      <c r="D440" s="27"/>
      <c r="E440" s="113" t="str">
        <f t="shared" si="32"/>
        <v/>
      </c>
      <c r="F440" s="34" t="str">
        <f t="shared" si="33"/>
        <v/>
      </c>
      <c r="G440" s="14"/>
      <c r="H440" s="57"/>
      <c r="I440" s="111"/>
      <c r="J440" s="111"/>
      <c r="K440" s="112" t="str">
        <f t="shared" si="34"/>
        <v/>
      </c>
      <c r="L440" s="112" t="str">
        <f t="shared" si="35"/>
        <v/>
      </c>
    </row>
    <row r="441" spans="1:12" outlineLevel="1">
      <c r="A441" s="54"/>
      <c r="B441" s="8"/>
      <c r="C441" s="26"/>
      <c r="D441" s="27"/>
      <c r="E441" s="113" t="str">
        <f t="shared" si="32"/>
        <v/>
      </c>
      <c r="F441" s="34" t="str">
        <f t="shared" si="33"/>
        <v/>
      </c>
      <c r="G441" s="14"/>
      <c r="H441" s="57"/>
      <c r="I441" s="111"/>
      <c r="J441" s="111"/>
      <c r="K441" s="112" t="str">
        <f t="shared" si="34"/>
        <v/>
      </c>
      <c r="L441" s="112" t="str">
        <f t="shared" si="35"/>
        <v/>
      </c>
    </row>
    <row r="442" spans="1:12">
      <c r="A442" s="54" t="s">
        <v>222</v>
      </c>
      <c r="B442" s="76" t="s">
        <v>179</v>
      </c>
      <c r="C442" s="26"/>
      <c r="D442" s="27"/>
      <c r="E442" s="113" t="str">
        <f t="shared" si="32"/>
        <v/>
      </c>
      <c r="F442" s="34" t="str">
        <f t="shared" si="33"/>
        <v/>
      </c>
      <c r="G442" s="14"/>
      <c r="H442" s="57"/>
      <c r="I442" s="111"/>
      <c r="J442" s="111"/>
      <c r="K442" s="112" t="str">
        <f t="shared" si="34"/>
        <v/>
      </c>
      <c r="L442" s="112" t="str">
        <f t="shared" si="35"/>
        <v/>
      </c>
    </row>
    <row r="443" spans="1:12" outlineLevel="1">
      <c r="A443" s="54"/>
      <c r="B443" s="8"/>
      <c r="C443" s="26"/>
      <c r="D443" s="27"/>
      <c r="E443" s="113" t="str">
        <f t="shared" si="32"/>
        <v/>
      </c>
      <c r="F443" s="34" t="str">
        <f t="shared" si="33"/>
        <v/>
      </c>
      <c r="G443" s="14"/>
      <c r="H443" s="57"/>
      <c r="I443" s="111"/>
      <c r="J443" s="111"/>
      <c r="K443" s="112" t="str">
        <f t="shared" si="34"/>
        <v/>
      </c>
      <c r="L443" s="112" t="str">
        <f t="shared" si="35"/>
        <v/>
      </c>
    </row>
    <row r="444" spans="1:12" ht="31" outlineLevel="1">
      <c r="A444" s="54"/>
      <c r="B444" s="22" t="s">
        <v>436</v>
      </c>
      <c r="C444" s="26" t="s">
        <v>5</v>
      </c>
      <c r="D444" s="27"/>
      <c r="E444" s="113" t="str">
        <f t="shared" si="32"/>
        <v/>
      </c>
      <c r="F444" s="34" t="str">
        <f t="shared" si="33"/>
        <v/>
      </c>
      <c r="G444" s="14"/>
      <c r="H444" s="57"/>
      <c r="I444" s="111"/>
      <c r="J444" s="111"/>
      <c r="K444" s="112" t="str">
        <f t="shared" si="34"/>
        <v/>
      </c>
      <c r="L444" s="112" t="str">
        <f t="shared" si="35"/>
        <v/>
      </c>
    </row>
    <row r="445" spans="1:12" outlineLevel="1">
      <c r="A445" s="54"/>
      <c r="B445" s="22" t="s">
        <v>437</v>
      </c>
      <c r="C445" s="26" t="s">
        <v>5</v>
      </c>
      <c r="D445" s="27"/>
      <c r="E445" s="113" t="str">
        <f t="shared" si="32"/>
        <v/>
      </c>
      <c r="F445" s="34" t="str">
        <f t="shared" si="33"/>
        <v/>
      </c>
      <c r="G445" s="14"/>
      <c r="H445" s="57"/>
      <c r="I445" s="111"/>
      <c r="J445" s="111"/>
      <c r="K445" s="112" t="str">
        <f t="shared" si="34"/>
        <v/>
      </c>
      <c r="L445" s="112" t="str">
        <f t="shared" si="35"/>
        <v/>
      </c>
    </row>
    <row r="446" spans="1:12" outlineLevel="1">
      <c r="A446" s="54"/>
      <c r="B446" s="22" t="s">
        <v>421</v>
      </c>
      <c r="C446" s="26" t="s">
        <v>5</v>
      </c>
      <c r="D446" s="27"/>
      <c r="E446" s="113" t="str">
        <f t="shared" si="32"/>
        <v/>
      </c>
      <c r="F446" s="34" t="str">
        <f t="shared" si="33"/>
        <v/>
      </c>
      <c r="G446" s="14"/>
      <c r="H446" s="57"/>
      <c r="I446" s="111"/>
      <c r="J446" s="111"/>
      <c r="K446" s="112" t="str">
        <f t="shared" si="34"/>
        <v/>
      </c>
      <c r="L446" s="112" t="str">
        <f t="shared" si="35"/>
        <v/>
      </c>
    </row>
    <row r="447" spans="1:12" outlineLevel="1">
      <c r="A447" s="54"/>
      <c r="B447" s="22" t="s">
        <v>422</v>
      </c>
      <c r="C447" s="26" t="s">
        <v>5</v>
      </c>
      <c r="D447" s="27"/>
      <c r="E447" s="113" t="str">
        <f t="shared" si="32"/>
        <v/>
      </c>
      <c r="F447" s="34" t="str">
        <f t="shared" si="33"/>
        <v/>
      </c>
      <c r="G447" s="14"/>
      <c r="H447" s="57"/>
      <c r="I447" s="111"/>
      <c r="J447" s="111"/>
      <c r="K447" s="112" t="str">
        <f t="shared" si="34"/>
        <v/>
      </c>
      <c r="L447" s="112" t="str">
        <f t="shared" si="35"/>
        <v/>
      </c>
    </row>
    <row r="448" spans="1:12" outlineLevel="1">
      <c r="A448" s="54"/>
      <c r="B448" s="8" t="s">
        <v>140</v>
      </c>
      <c r="C448" s="26" t="s">
        <v>5</v>
      </c>
      <c r="D448" s="27"/>
      <c r="E448" s="113" t="str">
        <f t="shared" si="32"/>
        <v/>
      </c>
      <c r="F448" s="34" t="str">
        <f t="shared" si="33"/>
        <v/>
      </c>
      <c r="G448" s="14"/>
      <c r="H448" s="57"/>
      <c r="I448" s="111"/>
      <c r="J448" s="111"/>
      <c r="K448" s="112" t="str">
        <f t="shared" si="34"/>
        <v/>
      </c>
      <c r="L448" s="112" t="str">
        <f t="shared" si="35"/>
        <v/>
      </c>
    </row>
    <row r="449" spans="1:12" outlineLevel="1">
      <c r="A449" s="54"/>
      <c r="B449" s="8" t="s">
        <v>311</v>
      </c>
      <c r="C449" s="26" t="s">
        <v>5</v>
      </c>
      <c r="D449" s="27"/>
      <c r="E449" s="113" t="str">
        <f t="shared" si="32"/>
        <v/>
      </c>
      <c r="F449" s="34" t="str">
        <f t="shared" si="33"/>
        <v/>
      </c>
      <c r="G449" s="14"/>
      <c r="H449" s="57"/>
      <c r="I449" s="111"/>
      <c r="J449" s="111"/>
      <c r="K449" s="112" t="str">
        <f t="shared" si="34"/>
        <v/>
      </c>
      <c r="L449" s="112" t="str">
        <f t="shared" si="35"/>
        <v/>
      </c>
    </row>
    <row r="450" spans="1:12" outlineLevel="1">
      <c r="A450" s="54"/>
      <c r="B450" s="22" t="s">
        <v>438</v>
      </c>
      <c r="C450" s="26" t="s">
        <v>26</v>
      </c>
      <c r="D450" s="27"/>
      <c r="E450" s="113" t="str">
        <f t="shared" si="32"/>
        <v/>
      </c>
      <c r="F450" s="34" t="str">
        <f t="shared" si="33"/>
        <v/>
      </c>
      <c r="G450" s="14"/>
      <c r="H450" s="57"/>
      <c r="I450" s="111"/>
      <c r="J450" s="111"/>
      <c r="K450" s="112" t="str">
        <f t="shared" si="34"/>
        <v/>
      </c>
      <c r="L450" s="112" t="str">
        <f t="shared" si="35"/>
        <v/>
      </c>
    </row>
    <row r="451" spans="1:12" outlineLevel="1">
      <c r="A451" s="54"/>
      <c r="B451" s="22" t="s">
        <v>142</v>
      </c>
      <c r="C451" s="26" t="s">
        <v>5</v>
      </c>
      <c r="D451" s="27"/>
      <c r="E451" s="113" t="str">
        <f t="shared" si="32"/>
        <v/>
      </c>
      <c r="F451" s="34" t="str">
        <f t="shared" si="33"/>
        <v/>
      </c>
      <c r="G451" s="14"/>
      <c r="H451" s="57"/>
      <c r="I451" s="111"/>
      <c r="J451" s="111"/>
      <c r="K451" s="112" t="str">
        <f t="shared" si="34"/>
        <v/>
      </c>
      <c r="L451" s="112" t="str">
        <f t="shared" si="35"/>
        <v/>
      </c>
    </row>
    <row r="452" spans="1:12" outlineLevel="1">
      <c r="A452" s="54"/>
      <c r="B452" s="22" t="s">
        <v>360</v>
      </c>
      <c r="C452" s="26" t="s">
        <v>5</v>
      </c>
      <c r="D452" s="27"/>
      <c r="E452" s="113" t="str">
        <f t="shared" si="32"/>
        <v/>
      </c>
      <c r="F452" s="34" t="str">
        <f t="shared" si="33"/>
        <v/>
      </c>
      <c r="G452" s="14"/>
      <c r="H452" s="57"/>
      <c r="I452" s="111"/>
      <c r="J452" s="111"/>
      <c r="K452" s="112" t="str">
        <f t="shared" si="34"/>
        <v/>
      </c>
      <c r="L452" s="112" t="str">
        <f t="shared" si="35"/>
        <v/>
      </c>
    </row>
    <row r="453" spans="1:12" outlineLevel="1">
      <c r="A453" s="54"/>
      <c r="B453" s="32" t="s">
        <v>405</v>
      </c>
      <c r="C453" s="26" t="s">
        <v>5</v>
      </c>
      <c r="D453" s="27"/>
      <c r="E453" s="113" t="str">
        <f t="shared" si="32"/>
        <v/>
      </c>
      <c r="F453" s="34" t="str">
        <f t="shared" si="33"/>
        <v/>
      </c>
      <c r="G453" s="14"/>
      <c r="H453" s="57"/>
      <c r="I453" s="111"/>
      <c r="J453" s="111"/>
      <c r="K453" s="112" t="str">
        <f t="shared" si="34"/>
        <v/>
      </c>
      <c r="L453" s="112" t="str">
        <f t="shared" si="35"/>
        <v/>
      </c>
    </row>
    <row r="454" spans="1:12" outlineLevel="1">
      <c r="A454" s="54"/>
      <c r="B454" s="8"/>
      <c r="C454" s="26"/>
      <c r="D454" s="27"/>
      <c r="E454" s="113" t="str">
        <f t="shared" si="32"/>
        <v/>
      </c>
      <c r="F454" s="34" t="str">
        <f t="shared" si="33"/>
        <v/>
      </c>
      <c r="G454" s="14"/>
      <c r="H454" s="57"/>
      <c r="I454" s="111"/>
      <c r="J454" s="111"/>
      <c r="K454" s="112" t="str">
        <f t="shared" si="34"/>
        <v/>
      </c>
      <c r="L454" s="112" t="str">
        <f t="shared" si="35"/>
        <v/>
      </c>
    </row>
    <row r="455" spans="1:12">
      <c r="A455" s="54" t="s">
        <v>224</v>
      </c>
      <c r="B455" s="76" t="s">
        <v>310</v>
      </c>
      <c r="C455" s="26"/>
      <c r="D455" s="27"/>
      <c r="E455" s="113" t="str">
        <f t="shared" si="32"/>
        <v/>
      </c>
      <c r="F455" s="34" t="str">
        <f t="shared" si="33"/>
        <v/>
      </c>
      <c r="G455" s="14"/>
      <c r="H455" s="57"/>
      <c r="I455" s="111"/>
      <c r="J455" s="111"/>
      <c r="K455" s="112" t="str">
        <f t="shared" si="34"/>
        <v/>
      </c>
      <c r="L455" s="112" t="str">
        <f t="shared" si="35"/>
        <v/>
      </c>
    </row>
    <row r="456" spans="1:12" outlineLevel="1">
      <c r="A456" s="54"/>
      <c r="B456" s="8"/>
      <c r="C456" s="26"/>
      <c r="D456" s="27"/>
      <c r="E456" s="113" t="str">
        <f t="shared" si="32"/>
        <v/>
      </c>
      <c r="F456" s="34" t="str">
        <f t="shared" si="33"/>
        <v/>
      </c>
      <c r="G456" s="14"/>
      <c r="H456" s="57"/>
      <c r="I456" s="111"/>
      <c r="J456" s="111"/>
      <c r="K456" s="112" t="str">
        <f t="shared" si="34"/>
        <v/>
      </c>
      <c r="L456" s="112" t="str">
        <f t="shared" si="35"/>
        <v/>
      </c>
    </row>
    <row r="457" spans="1:12" outlineLevel="1">
      <c r="A457" s="54"/>
      <c r="B457" s="8" t="s">
        <v>386</v>
      </c>
      <c r="C457" s="26" t="s">
        <v>5</v>
      </c>
      <c r="D457" s="27"/>
      <c r="E457" s="113" t="str">
        <f t="shared" si="32"/>
        <v/>
      </c>
      <c r="F457" s="34" t="str">
        <f t="shared" si="33"/>
        <v/>
      </c>
      <c r="G457" s="14"/>
      <c r="H457" s="57"/>
      <c r="I457" s="111"/>
      <c r="J457" s="111"/>
      <c r="K457" s="112" t="str">
        <f t="shared" si="34"/>
        <v/>
      </c>
      <c r="L457" s="112" t="str">
        <f t="shared" si="35"/>
        <v/>
      </c>
    </row>
    <row r="458" spans="1:12" outlineLevel="1">
      <c r="A458" s="54"/>
      <c r="B458" s="22" t="s">
        <v>387</v>
      </c>
      <c r="C458" s="26" t="s">
        <v>5</v>
      </c>
      <c r="D458" s="27"/>
      <c r="E458" s="113" t="str">
        <f t="shared" si="32"/>
        <v/>
      </c>
      <c r="F458" s="34" t="str">
        <f t="shared" si="33"/>
        <v/>
      </c>
      <c r="G458" s="14"/>
      <c r="H458" s="57"/>
      <c r="I458" s="111"/>
      <c r="J458" s="111"/>
      <c r="K458" s="112" t="str">
        <f t="shared" si="34"/>
        <v/>
      </c>
      <c r="L458" s="112" t="str">
        <f t="shared" si="35"/>
        <v/>
      </c>
    </row>
    <row r="459" spans="1:12" outlineLevel="1">
      <c r="A459" s="54"/>
      <c r="B459" s="22" t="s">
        <v>273</v>
      </c>
      <c r="C459" s="26" t="s">
        <v>5</v>
      </c>
      <c r="D459" s="27"/>
      <c r="E459" s="113" t="str">
        <f t="shared" si="32"/>
        <v/>
      </c>
      <c r="F459" s="34" t="str">
        <f t="shared" si="33"/>
        <v/>
      </c>
      <c r="G459" s="14"/>
      <c r="H459" s="57"/>
      <c r="I459" s="111"/>
      <c r="J459" s="111"/>
      <c r="K459" s="112" t="str">
        <f t="shared" si="34"/>
        <v/>
      </c>
      <c r="L459" s="112" t="str">
        <f t="shared" si="35"/>
        <v/>
      </c>
    </row>
    <row r="460" spans="1:12" outlineLevel="1">
      <c r="A460" s="54"/>
      <c r="B460" s="22" t="s">
        <v>275</v>
      </c>
      <c r="C460" s="26" t="s">
        <v>5</v>
      </c>
      <c r="D460" s="27"/>
      <c r="E460" s="113" t="str">
        <f t="shared" si="32"/>
        <v/>
      </c>
      <c r="F460" s="34" t="str">
        <f t="shared" si="33"/>
        <v/>
      </c>
      <c r="G460" s="14"/>
      <c r="H460" s="57"/>
      <c r="I460" s="111"/>
      <c r="J460" s="111"/>
      <c r="K460" s="112" t="str">
        <f t="shared" si="34"/>
        <v/>
      </c>
      <c r="L460" s="112" t="str">
        <f t="shared" si="35"/>
        <v/>
      </c>
    </row>
    <row r="461" spans="1:12" ht="15.75" customHeight="1" outlineLevel="1">
      <c r="A461" s="54"/>
      <c r="B461" s="22" t="s">
        <v>395</v>
      </c>
      <c r="C461" s="26" t="s">
        <v>5</v>
      </c>
      <c r="D461" s="27"/>
      <c r="E461" s="113" t="str">
        <f t="shared" si="32"/>
        <v/>
      </c>
      <c r="F461" s="34" t="str">
        <f t="shared" si="33"/>
        <v/>
      </c>
      <c r="G461" s="14"/>
      <c r="H461" s="57"/>
      <c r="I461" s="111"/>
      <c r="J461" s="111"/>
      <c r="K461" s="112" t="str">
        <f t="shared" si="34"/>
        <v/>
      </c>
      <c r="L461" s="112" t="str">
        <f t="shared" si="35"/>
        <v/>
      </c>
    </row>
    <row r="462" spans="1:12" outlineLevel="1">
      <c r="A462" s="54"/>
      <c r="B462" s="8"/>
      <c r="C462" s="26"/>
      <c r="D462" s="27"/>
      <c r="E462" s="113" t="str">
        <f t="shared" si="32"/>
        <v/>
      </c>
      <c r="F462" s="34" t="str">
        <f t="shared" si="33"/>
        <v/>
      </c>
      <c r="G462" s="14"/>
      <c r="H462" s="57"/>
      <c r="I462" s="111"/>
      <c r="J462" s="111"/>
      <c r="K462" s="112" t="str">
        <f t="shared" si="34"/>
        <v/>
      </c>
      <c r="L462" s="112" t="str">
        <f t="shared" si="35"/>
        <v/>
      </c>
    </row>
    <row r="463" spans="1:12">
      <c r="A463" s="54" t="s">
        <v>223</v>
      </c>
      <c r="B463" s="76" t="s">
        <v>60</v>
      </c>
      <c r="C463" s="26"/>
      <c r="D463" s="27"/>
      <c r="E463" s="113" t="str">
        <f t="shared" si="32"/>
        <v/>
      </c>
      <c r="F463" s="34" t="str">
        <f t="shared" si="33"/>
        <v/>
      </c>
      <c r="G463" s="14"/>
      <c r="H463" s="57"/>
      <c r="I463" s="111"/>
      <c r="J463" s="111"/>
      <c r="K463" s="112" t="str">
        <f t="shared" si="34"/>
        <v/>
      </c>
      <c r="L463" s="112" t="str">
        <f t="shared" si="35"/>
        <v/>
      </c>
    </row>
    <row r="464" spans="1:12" outlineLevel="1">
      <c r="A464" s="54"/>
      <c r="B464" s="8"/>
      <c r="C464" s="26"/>
      <c r="D464" s="27"/>
      <c r="E464" s="113" t="str">
        <f t="shared" si="32"/>
        <v/>
      </c>
      <c r="F464" s="34" t="str">
        <f t="shared" si="33"/>
        <v/>
      </c>
      <c r="G464" s="14"/>
      <c r="H464" s="57"/>
      <c r="I464" s="111"/>
      <c r="J464" s="111"/>
      <c r="K464" s="112" t="str">
        <f t="shared" si="34"/>
        <v/>
      </c>
      <c r="L464" s="112" t="str">
        <f t="shared" si="35"/>
        <v/>
      </c>
    </row>
    <row r="465" spans="1:12" outlineLevel="1">
      <c r="A465" s="54"/>
      <c r="B465" s="22" t="s">
        <v>424</v>
      </c>
      <c r="C465" s="26" t="s">
        <v>5</v>
      </c>
      <c r="D465" s="27"/>
      <c r="E465" s="113" t="str">
        <f t="shared" si="32"/>
        <v/>
      </c>
      <c r="F465" s="34" t="str">
        <f t="shared" si="33"/>
        <v/>
      </c>
      <c r="G465" s="14"/>
      <c r="H465" s="57"/>
      <c r="I465" s="111"/>
      <c r="J465" s="111"/>
      <c r="K465" s="112" t="str">
        <f t="shared" si="34"/>
        <v/>
      </c>
      <c r="L465" s="112" t="str">
        <f t="shared" si="35"/>
        <v/>
      </c>
    </row>
    <row r="466" spans="1:12" outlineLevel="1">
      <c r="A466" s="54"/>
      <c r="B466" s="22" t="s">
        <v>425</v>
      </c>
      <c r="C466" s="26" t="s">
        <v>5</v>
      </c>
      <c r="D466" s="27"/>
      <c r="E466" s="113" t="str">
        <f t="shared" si="32"/>
        <v/>
      </c>
      <c r="F466" s="34" t="str">
        <f t="shared" si="33"/>
        <v/>
      </c>
      <c r="G466" s="14"/>
      <c r="H466" s="57"/>
      <c r="I466" s="111"/>
      <c r="J466" s="111"/>
      <c r="K466" s="112" t="str">
        <f t="shared" si="34"/>
        <v/>
      </c>
      <c r="L466" s="112" t="str">
        <f t="shared" si="35"/>
        <v/>
      </c>
    </row>
    <row r="467" spans="1:12" outlineLevel="1">
      <c r="A467" s="54"/>
      <c r="B467" s="8" t="s">
        <v>372</v>
      </c>
      <c r="C467" s="26" t="s">
        <v>26</v>
      </c>
      <c r="D467" s="27"/>
      <c r="E467" s="113" t="str">
        <f t="shared" si="32"/>
        <v/>
      </c>
      <c r="F467" s="34" t="str">
        <f t="shared" si="33"/>
        <v/>
      </c>
      <c r="G467" s="14"/>
      <c r="H467" s="57"/>
      <c r="I467" s="111"/>
      <c r="J467" s="111"/>
      <c r="K467" s="112" t="str">
        <f t="shared" si="34"/>
        <v/>
      </c>
      <c r="L467" s="112" t="str">
        <f t="shared" si="35"/>
        <v/>
      </c>
    </row>
    <row r="468" spans="1:12" outlineLevel="1">
      <c r="A468" s="54"/>
      <c r="B468" s="22" t="s">
        <v>61</v>
      </c>
      <c r="C468" s="26" t="s">
        <v>26</v>
      </c>
      <c r="D468" s="27"/>
      <c r="E468" s="113" t="str">
        <f t="shared" si="32"/>
        <v/>
      </c>
      <c r="F468" s="34" t="str">
        <f t="shared" si="33"/>
        <v/>
      </c>
      <c r="G468" s="14"/>
      <c r="H468" s="57"/>
      <c r="I468" s="111"/>
      <c r="J468" s="111"/>
      <c r="K468" s="112" t="str">
        <f t="shared" si="34"/>
        <v/>
      </c>
      <c r="L468" s="112" t="str">
        <f t="shared" si="35"/>
        <v/>
      </c>
    </row>
    <row r="469" spans="1:12" outlineLevel="1">
      <c r="A469" s="54"/>
      <c r="B469" s="32"/>
      <c r="C469" s="26"/>
      <c r="D469" s="27"/>
      <c r="E469" s="113" t="str">
        <f t="shared" si="32"/>
        <v/>
      </c>
      <c r="F469" s="34" t="str">
        <f t="shared" si="33"/>
        <v/>
      </c>
      <c r="G469" s="14"/>
      <c r="H469" s="57"/>
      <c r="I469" s="111"/>
      <c r="J469" s="111"/>
      <c r="K469" s="112" t="str">
        <f t="shared" si="34"/>
        <v/>
      </c>
      <c r="L469" s="112" t="str">
        <f t="shared" si="35"/>
        <v/>
      </c>
    </row>
    <row r="470" spans="1:12">
      <c r="A470" s="54" t="s">
        <v>348</v>
      </c>
      <c r="B470" s="76" t="s">
        <v>439</v>
      </c>
      <c r="C470" s="26"/>
      <c r="D470" s="27"/>
      <c r="E470" s="113" t="str">
        <f t="shared" si="32"/>
        <v/>
      </c>
      <c r="F470" s="34" t="str">
        <f t="shared" si="33"/>
        <v/>
      </c>
      <c r="G470" s="14"/>
      <c r="H470" s="57"/>
      <c r="I470" s="111"/>
      <c r="J470" s="111"/>
      <c r="K470" s="112" t="str">
        <f t="shared" si="34"/>
        <v/>
      </c>
      <c r="L470" s="112" t="str">
        <f t="shared" si="35"/>
        <v/>
      </c>
    </row>
    <row r="471" spans="1:12" outlineLevel="1">
      <c r="A471" s="54"/>
      <c r="B471" s="8"/>
      <c r="C471" s="26"/>
      <c r="D471" s="27"/>
      <c r="E471" s="113" t="str">
        <f t="shared" si="32"/>
        <v/>
      </c>
      <c r="F471" s="34" t="str">
        <f t="shared" si="33"/>
        <v/>
      </c>
      <c r="G471" s="14"/>
      <c r="H471" s="57"/>
      <c r="I471" s="111"/>
      <c r="J471" s="111"/>
      <c r="K471" s="112" t="str">
        <f t="shared" si="34"/>
        <v/>
      </c>
      <c r="L471" s="112" t="str">
        <f t="shared" si="35"/>
        <v/>
      </c>
    </row>
    <row r="472" spans="1:12" outlineLevel="1">
      <c r="A472" s="54"/>
      <c r="B472" s="22" t="s">
        <v>180</v>
      </c>
      <c r="C472" s="26" t="s">
        <v>153</v>
      </c>
      <c r="D472" s="27"/>
      <c r="E472" s="113" t="str">
        <f t="shared" si="32"/>
        <v/>
      </c>
      <c r="F472" s="34" t="str">
        <f t="shared" si="33"/>
        <v/>
      </c>
      <c r="G472" s="14"/>
      <c r="H472" s="57"/>
      <c r="I472" s="111"/>
      <c r="J472" s="111"/>
      <c r="K472" s="112" t="str">
        <f t="shared" si="34"/>
        <v/>
      </c>
      <c r="L472" s="112" t="str">
        <f t="shared" si="35"/>
        <v/>
      </c>
    </row>
    <row r="473" spans="1:12" outlineLevel="1">
      <c r="A473" s="54"/>
      <c r="B473" s="22" t="s">
        <v>292</v>
      </c>
      <c r="C473" s="26" t="s">
        <v>5</v>
      </c>
      <c r="D473" s="27"/>
      <c r="E473" s="113" t="str">
        <f t="shared" si="32"/>
        <v/>
      </c>
      <c r="F473" s="34" t="str">
        <f t="shared" si="33"/>
        <v/>
      </c>
      <c r="G473" s="14"/>
      <c r="H473" s="57"/>
      <c r="I473" s="111"/>
      <c r="J473" s="111"/>
      <c r="K473" s="112" t="str">
        <f t="shared" si="34"/>
        <v/>
      </c>
      <c r="L473" s="112" t="str">
        <f t="shared" si="35"/>
        <v/>
      </c>
    </row>
    <row r="474" spans="1:12" outlineLevel="1">
      <c r="A474" s="54"/>
      <c r="B474" s="32" t="s">
        <v>383</v>
      </c>
      <c r="C474" s="26" t="s">
        <v>5</v>
      </c>
      <c r="D474" s="27"/>
      <c r="E474" s="113" t="str">
        <f t="shared" si="32"/>
        <v/>
      </c>
      <c r="F474" s="34" t="str">
        <f t="shared" si="33"/>
        <v/>
      </c>
      <c r="G474" s="14"/>
      <c r="H474" s="57"/>
      <c r="I474" s="111"/>
      <c r="J474" s="111"/>
      <c r="K474" s="112" t="str">
        <f t="shared" si="34"/>
        <v/>
      </c>
      <c r="L474" s="112" t="str">
        <f t="shared" si="35"/>
        <v/>
      </c>
    </row>
    <row r="475" spans="1:12" outlineLevel="1">
      <c r="A475" s="54"/>
      <c r="B475" s="8"/>
      <c r="C475" s="26"/>
      <c r="D475" s="27"/>
      <c r="E475" s="113" t="str">
        <f t="shared" si="32"/>
        <v/>
      </c>
      <c r="F475" s="34" t="str">
        <f t="shared" si="33"/>
        <v/>
      </c>
      <c r="G475" s="14"/>
      <c r="H475" s="57"/>
      <c r="I475" s="111"/>
      <c r="J475" s="111"/>
      <c r="K475" s="112" t="str">
        <f t="shared" si="34"/>
        <v/>
      </c>
      <c r="L475" s="112" t="str">
        <f t="shared" si="35"/>
        <v/>
      </c>
    </row>
    <row r="476" spans="1:12">
      <c r="A476" s="54" t="s">
        <v>349</v>
      </c>
      <c r="B476" s="21" t="s">
        <v>177</v>
      </c>
      <c r="C476" s="26"/>
      <c r="D476" s="27"/>
      <c r="E476" s="113" t="str">
        <f t="shared" si="32"/>
        <v/>
      </c>
      <c r="F476" s="34" t="str">
        <f t="shared" si="33"/>
        <v/>
      </c>
      <c r="G476" s="14"/>
      <c r="H476" s="57"/>
      <c r="I476" s="111"/>
      <c r="J476" s="111"/>
      <c r="K476" s="112" t="str">
        <f t="shared" si="34"/>
        <v/>
      </c>
      <c r="L476" s="112" t="str">
        <f t="shared" si="35"/>
        <v/>
      </c>
    </row>
    <row r="477" spans="1:12" outlineLevel="1">
      <c r="A477" s="54"/>
      <c r="B477" s="22"/>
      <c r="C477" s="26"/>
      <c r="D477" s="27"/>
      <c r="E477" s="113" t="str">
        <f t="shared" si="32"/>
        <v/>
      </c>
      <c r="F477" s="34" t="str">
        <f t="shared" si="33"/>
        <v/>
      </c>
      <c r="G477" s="14"/>
      <c r="H477" s="57"/>
      <c r="I477" s="111"/>
      <c r="J477" s="111"/>
      <c r="K477" s="112" t="str">
        <f t="shared" si="34"/>
        <v/>
      </c>
      <c r="L477" s="112" t="str">
        <f t="shared" si="35"/>
        <v/>
      </c>
    </row>
    <row r="478" spans="1:12" outlineLevel="1">
      <c r="A478" s="54"/>
      <c r="B478" s="22" t="s">
        <v>143</v>
      </c>
      <c r="C478" s="26" t="s">
        <v>5</v>
      </c>
      <c r="D478" s="27"/>
      <c r="E478" s="113" t="str">
        <f t="shared" si="32"/>
        <v/>
      </c>
      <c r="F478" s="34" t="str">
        <f t="shared" si="33"/>
        <v/>
      </c>
      <c r="G478" s="14"/>
      <c r="H478" s="57"/>
      <c r="I478" s="111"/>
      <c r="J478" s="111"/>
      <c r="K478" s="112" t="str">
        <f t="shared" si="34"/>
        <v/>
      </c>
      <c r="L478" s="112" t="str">
        <f t="shared" si="35"/>
        <v/>
      </c>
    </row>
    <row r="479" spans="1:12" outlineLevel="1">
      <c r="A479" s="54"/>
      <c r="B479" s="22" t="s">
        <v>144</v>
      </c>
      <c r="C479" s="26" t="s">
        <v>5</v>
      </c>
      <c r="D479" s="27"/>
      <c r="E479" s="113" t="str">
        <f t="shared" si="32"/>
        <v/>
      </c>
      <c r="F479" s="34" t="str">
        <f t="shared" si="33"/>
        <v/>
      </c>
      <c r="G479" s="14"/>
      <c r="H479" s="57"/>
      <c r="I479" s="111"/>
      <c r="J479" s="111"/>
      <c r="K479" s="112" t="str">
        <f t="shared" si="34"/>
        <v/>
      </c>
      <c r="L479" s="112" t="str">
        <f t="shared" si="35"/>
        <v/>
      </c>
    </row>
    <row r="480" spans="1:12" outlineLevel="1">
      <c r="A480" s="54"/>
      <c r="B480" s="22" t="s">
        <v>145</v>
      </c>
      <c r="C480" s="26" t="s">
        <v>5</v>
      </c>
      <c r="D480" s="27"/>
      <c r="E480" s="113" t="str">
        <f t="shared" si="32"/>
        <v/>
      </c>
      <c r="F480" s="34" t="str">
        <f t="shared" si="33"/>
        <v/>
      </c>
      <c r="G480" s="14"/>
      <c r="H480" s="57"/>
      <c r="I480" s="111"/>
      <c r="J480" s="111"/>
      <c r="K480" s="112" t="str">
        <f t="shared" si="34"/>
        <v/>
      </c>
      <c r="L480" s="112" t="str">
        <f t="shared" si="35"/>
        <v/>
      </c>
    </row>
    <row r="481" spans="1:12" outlineLevel="1">
      <c r="A481" s="54"/>
      <c r="B481" s="22" t="s">
        <v>146</v>
      </c>
      <c r="C481" s="26" t="s">
        <v>5</v>
      </c>
      <c r="D481" s="27"/>
      <c r="E481" s="113" t="str">
        <f t="shared" si="32"/>
        <v/>
      </c>
      <c r="F481" s="34" t="str">
        <f t="shared" si="33"/>
        <v/>
      </c>
      <c r="G481" s="14"/>
      <c r="H481" s="57"/>
      <c r="I481" s="111"/>
      <c r="J481" s="111"/>
      <c r="K481" s="112" t="str">
        <f t="shared" si="34"/>
        <v/>
      </c>
      <c r="L481" s="112" t="str">
        <f t="shared" si="35"/>
        <v/>
      </c>
    </row>
    <row r="482" spans="1:12" outlineLevel="1">
      <c r="A482" s="54"/>
      <c r="B482" s="22" t="s">
        <v>147</v>
      </c>
      <c r="C482" s="26" t="s">
        <v>5</v>
      </c>
      <c r="D482" s="27"/>
      <c r="E482" s="113" t="str">
        <f t="shared" si="32"/>
        <v/>
      </c>
      <c r="F482" s="34" t="str">
        <f t="shared" si="33"/>
        <v/>
      </c>
      <c r="G482" s="14"/>
      <c r="H482" s="57"/>
      <c r="I482" s="111"/>
      <c r="J482" s="111"/>
      <c r="K482" s="112" t="str">
        <f t="shared" si="34"/>
        <v/>
      </c>
      <c r="L482" s="112" t="str">
        <f t="shared" si="35"/>
        <v/>
      </c>
    </row>
    <row r="483" spans="1:12" outlineLevel="1">
      <c r="A483" s="54"/>
      <c r="B483" s="22" t="s">
        <v>411</v>
      </c>
      <c r="C483" s="26"/>
      <c r="D483" s="27"/>
      <c r="E483" s="113" t="str">
        <f t="shared" si="32"/>
        <v/>
      </c>
      <c r="F483" s="34" t="str">
        <f t="shared" si="33"/>
        <v/>
      </c>
      <c r="G483" s="14"/>
      <c r="H483" s="57"/>
      <c r="I483" s="111"/>
      <c r="J483" s="111"/>
      <c r="K483" s="112" t="str">
        <f t="shared" si="34"/>
        <v/>
      </c>
      <c r="L483" s="112" t="str">
        <f t="shared" si="35"/>
        <v/>
      </c>
    </row>
    <row r="484" spans="1:12" outlineLevel="1">
      <c r="A484" s="54"/>
      <c r="B484" s="22" t="s">
        <v>148</v>
      </c>
      <c r="C484" s="26" t="s">
        <v>5</v>
      </c>
      <c r="D484" s="27"/>
      <c r="E484" s="113" t="str">
        <f t="shared" si="32"/>
        <v/>
      </c>
      <c r="F484" s="34" t="str">
        <f t="shared" si="33"/>
        <v/>
      </c>
      <c r="G484" s="14"/>
      <c r="H484" s="57"/>
      <c r="I484" s="111"/>
      <c r="J484" s="111"/>
      <c r="K484" s="112" t="str">
        <f t="shared" si="34"/>
        <v/>
      </c>
      <c r="L484" s="112" t="str">
        <f t="shared" si="35"/>
        <v/>
      </c>
    </row>
    <row r="485" spans="1:12" ht="31" outlineLevel="1">
      <c r="A485" s="54"/>
      <c r="B485" s="22" t="s">
        <v>181</v>
      </c>
      <c r="C485" s="26" t="s">
        <v>4</v>
      </c>
      <c r="D485" s="27"/>
      <c r="E485" s="113" t="str">
        <f t="shared" si="32"/>
        <v/>
      </c>
      <c r="F485" s="34" t="str">
        <f t="shared" si="33"/>
        <v/>
      </c>
      <c r="G485" s="14"/>
      <c r="H485" s="57"/>
      <c r="I485" s="111"/>
      <c r="J485" s="111"/>
      <c r="K485" s="112" t="str">
        <f t="shared" si="34"/>
        <v/>
      </c>
      <c r="L485" s="112" t="str">
        <f t="shared" si="35"/>
        <v/>
      </c>
    </row>
    <row r="486" spans="1:12" outlineLevel="1">
      <c r="A486" s="54"/>
      <c r="B486" s="22" t="s">
        <v>150</v>
      </c>
      <c r="C486" s="26" t="s">
        <v>153</v>
      </c>
      <c r="D486" s="27"/>
      <c r="E486" s="113" t="str">
        <f t="shared" si="32"/>
        <v/>
      </c>
      <c r="F486" s="34" t="str">
        <f t="shared" si="33"/>
        <v/>
      </c>
      <c r="G486" s="14"/>
      <c r="H486" s="57"/>
      <c r="I486" s="111"/>
      <c r="J486" s="111"/>
      <c r="K486" s="112" t="str">
        <f t="shared" si="34"/>
        <v/>
      </c>
      <c r="L486" s="112" t="str">
        <f t="shared" si="35"/>
        <v/>
      </c>
    </row>
    <row r="487" spans="1:12" outlineLevel="1">
      <c r="A487" s="54"/>
      <c r="B487" s="22" t="s">
        <v>151</v>
      </c>
      <c r="C487" s="26" t="s">
        <v>153</v>
      </c>
      <c r="D487" s="27"/>
      <c r="E487" s="113" t="str">
        <f t="shared" si="32"/>
        <v/>
      </c>
      <c r="F487" s="34" t="str">
        <f t="shared" si="33"/>
        <v/>
      </c>
      <c r="G487" s="14"/>
      <c r="H487" s="57"/>
      <c r="I487" s="111"/>
      <c r="J487" s="111"/>
      <c r="K487" s="112" t="str">
        <f t="shared" si="34"/>
        <v/>
      </c>
      <c r="L487" s="112" t="str">
        <f t="shared" si="35"/>
        <v/>
      </c>
    </row>
    <row r="488" spans="1:12" outlineLevel="1">
      <c r="A488" s="54"/>
      <c r="B488" s="22" t="s">
        <v>152</v>
      </c>
      <c r="C488" s="26" t="s">
        <v>3</v>
      </c>
      <c r="D488" s="27"/>
      <c r="E488" s="113" t="str">
        <f t="shared" si="32"/>
        <v/>
      </c>
      <c r="F488" s="34" t="str">
        <f t="shared" si="33"/>
        <v/>
      </c>
      <c r="G488" s="14"/>
      <c r="H488" s="57"/>
      <c r="I488" s="111"/>
      <c r="J488" s="111"/>
      <c r="K488" s="112" t="str">
        <f t="shared" si="34"/>
        <v/>
      </c>
      <c r="L488" s="112" t="str">
        <f t="shared" si="35"/>
        <v/>
      </c>
    </row>
    <row r="489" spans="1:12" ht="16" thickBot="1">
      <c r="A489" s="65"/>
      <c r="B489" s="24"/>
      <c r="C489" s="26"/>
      <c r="D489" s="27"/>
      <c r="E489" s="9"/>
      <c r="F489" s="34"/>
      <c r="G489" s="14"/>
      <c r="H489" s="57"/>
      <c r="I489" s="111"/>
      <c r="J489" s="111"/>
      <c r="K489" s="112"/>
      <c r="L489" s="112"/>
    </row>
    <row r="490" spans="1:12" ht="18.5" thickBot="1">
      <c r="A490" s="58">
        <v>5</v>
      </c>
      <c r="B490" s="59" t="s">
        <v>83</v>
      </c>
      <c r="C490" s="68"/>
      <c r="D490" s="69"/>
      <c r="E490" s="62"/>
      <c r="F490" s="62"/>
      <c r="G490" s="63"/>
      <c r="H490" s="64"/>
      <c r="I490" s="111"/>
      <c r="J490" s="111"/>
      <c r="K490" s="112"/>
      <c r="L490" s="112"/>
    </row>
    <row r="491" spans="1:12">
      <c r="A491" s="54"/>
      <c r="B491" s="23"/>
      <c r="C491" s="26"/>
      <c r="D491" s="27"/>
      <c r="E491" s="9"/>
      <c r="F491" s="34"/>
      <c r="G491" s="14"/>
      <c r="H491" s="57"/>
      <c r="I491" s="111"/>
      <c r="J491" s="111"/>
      <c r="K491" s="112"/>
      <c r="L491" s="112"/>
    </row>
    <row r="492" spans="1:12">
      <c r="A492" s="54" t="s">
        <v>225</v>
      </c>
      <c r="B492" s="21" t="s">
        <v>84</v>
      </c>
      <c r="C492" s="26"/>
      <c r="D492" s="27"/>
      <c r="E492" s="113" t="str">
        <f t="shared" ref="E492:E555" si="36">IF(D492="","",(((K492*$L$2)+(L492*$J$2*$J$3))*$L$3)/D492)</f>
        <v/>
      </c>
      <c r="F492" s="34" t="str">
        <f t="shared" ref="F492:F555" si="37">IF(D492="","",D492*E492)</f>
        <v/>
      </c>
      <c r="G492" s="14"/>
      <c r="H492" s="57"/>
      <c r="I492" s="111"/>
      <c r="J492" s="111"/>
      <c r="K492" s="112" t="str">
        <f t="shared" ref="K492:K555" si="38">IF(D492="","",I492*D492)</f>
        <v/>
      </c>
      <c r="L492" s="112" t="str">
        <f t="shared" ref="L492:L555" si="39">IF(D492="","",D492*J492)</f>
        <v/>
      </c>
    </row>
    <row r="493" spans="1:12" outlineLevel="1">
      <c r="A493" s="54"/>
      <c r="B493" s="22"/>
      <c r="C493" s="26"/>
      <c r="D493" s="27"/>
      <c r="E493" s="113" t="str">
        <f t="shared" si="36"/>
        <v/>
      </c>
      <c r="F493" s="34" t="str">
        <f t="shared" si="37"/>
        <v/>
      </c>
      <c r="G493" s="14"/>
      <c r="H493" s="57"/>
      <c r="I493" s="111"/>
      <c r="J493" s="111"/>
      <c r="K493" s="112" t="str">
        <f t="shared" si="38"/>
        <v/>
      </c>
      <c r="L493" s="112" t="str">
        <f t="shared" si="39"/>
        <v/>
      </c>
    </row>
    <row r="494" spans="1:12" ht="38.25" customHeight="1" outlineLevel="1">
      <c r="A494" s="54"/>
      <c r="B494" s="22" t="s">
        <v>85</v>
      </c>
      <c r="C494" s="46" t="s">
        <v>3</v>
      </c>
      <c r="D494" s="27"/>
      <c r="E494" s="113" t="str">
        <f t="shared" si="36"/>
        <v/>
      </c>
      <c r="F494" s="34" t="str">
        <f t="shared" si="37"/>
        <v/>
      </c>
      <c r="G494" s="14"/>
      <c r="H494" s="57"/>
      <c r="I494" s="111"/>
      <c r="J494" s="111"/>
      <c r="K494" s="112" t="str">
        <f t="shared" si="38"/>
        <v/>
      </c>
      <c r="L494" s="112" t="str">
        <f t="shared" si="39"/>
        <v/>
      </c>
    </row>
    <row r="495" spans="1:12" outlineLevel="1">
      <c r="A495" s="54"/>
      <c r="B495" s="22" t="s">
        <v>86</v>
      </c>
      <c r="C495" s="46" t="s">
        <v>3</v>
      </c>
      <c r="D495" s="27"/>
      <c r="E495" s="113" t="str">
        <f t="shared" si="36"/>
        <v/>
      </c>
      <c r="F495" s="34" t="str">
        <f t="shared" si="37"/>
        <v/>
      </c>
      <c r="G495" s="14"/>
      <c r="H495" s="57"/>
      <c r="I495" s="111"/>
      <c r="J495" s="111"/>
      <c r="K495" s="112" t="str">
        <f t="shared" si="38"/>
        <v/>
      </c>
      <c r="L495" s="112" t="str">
        <f t="shared" si="39"/>
        <v/>
      </c>
    </row>
    <row r="496" spans="1:12" outlineLevel="1">
      <c r="A496" s="54"/>
      <c r="B496" s="22" t="s">
        <v>87</v>
      </c>
      <c r="C496" s="46" t="s">
        <v>3</v>
      </c>
      <c r="D496" s="27"/>
      <c r="E496" s="113" t="str">
        <f t="shared" si="36"/>
        <v/>
      </c>
      <c r="F496" s="34" t="str">
        <f t="shared" si="37"/>
        <v/>
      </c>
      <c r="G496" s="14"/>
      <c r="H496" s="57"/>
      <c r="I496" s="111"/>
      <c r="J496" s="111"/>
      <c r="K496" s="112" t="str">
        <f t="shared" si="38"/>
        <v/>
      </c>
      <c r="L496" s="112" t="str">
        <f t="shared" si="39"/>
        <v/>
      </c>
    </row>
    <row r="497" spans="1:12" outlineLevel="1">
      <c r="A497" s="54"/>
      <c r="B497" s="22" t="s">
        <v>88</v>
      </c>
      <c r="C497" s="46" t="s">
        <v>3</v>
      </c>
      <c r="D497" s="27"/>
      <c r="E497" s="113" t="str">
        <f t="shared" si="36"/>
        <v/>
      </c>
      <c r="F497" s="34" t="str">
        <f t="shared" si="37"/>
        <v/>
      </c>
      <c r="G497" s="14"/>
      <c r="H497" s="57"/>
      <c r="I497" s="111"/>
      <c r="J497" s="111"/>
      <c r="K497" s="112" t="str">
        <f t="shared" si="38"/>
        <v/>
      </c>
      <c r="L497" s="112" t="str">
        <f t="shared" si="39"/>
        <v/>
      </c>
    </row>
    <row r="498" spans="1:12" outlineLevel="1">
      <c r="A498" s="54"/>
      <c r="B498" s="8" t="s">
        <v>190</v>
      </c>
      <c r="C498" s="46" t="s">
        <v>3</v>
      </c>
      <c r="D498" s="27"/>
      <c r="E498" s="113" t="str">
        <f t="shared" si="36"/>
        <v/>
      </c>
      <c r="F498" s="34" t="str">
        <f t="shared" si="37"/>
        <v/>
      </c>
      <c r="G498" s="14"/>
      <c r="H498" s="57"/>
      <c r="I498" s="111"/>
      <c r="J498" s="111"/>
      <c r="K498" s="112" t="str">
        <f t="shared" si="38"/>
        <v/>
      </c>
      <c r="L498" s="112" t="str">
        <f t="shared" si="39"/>
        <v/>
      </c>
    </row>
    <row r="499" spans="1:12" outlineLevel="1">
      <c r="A499" s="54"/>
      <c r="B499" s="22" t="s">
        <v>89</v>
      </c>
      <c r="C499" s="46" t="s">
        <v>26</v>
      </c>
      <c r="D499" s="27"/>
      <c r="E499" s="113" t="str">
        <f t="shared" si="36"/>
        <v/>
      </c>
      <c r="F499" s="34" t="str">
        <f t="shared" si="37"/>
        <v/>
      </c>
      <c r="G499" s="14"/>
      <c r="H499" s="57"/>
      <c r="I499" s="111"/>
      <c r="J499" s="111"/>
      <c r="K499" s="112" t="str">
        <f t="shared" si="38"/>
        <v/>
      </c>
      <c r="L499" s="112" t="str">
        <f t="shared" si="39"/>
        <v/>
      </c>
    </row>
    <row r="500" spans="1:12" outlineLevel="1">
      <c r="A500" s="54"/>
      <c r="B500" s="22" t="s">
        <v>403</v>
      </c>
      <c r="C500" s="46" t="s">
        <v>26</v>
      </c>
      <c r="D500" s="27"/>
      <c r="E500" s="113" t="str">
        <f t="shared" si="36"/>
        <v/>
      </c>
      <c r="F500" s="34" t="str">
        <f t="shared" si="37"/>
        <v/>
      </c>
      <c r="G500" s="14"/>
      <c r="H500" s="57"/>
      <c r="I500" s="111"/>
      <c r="J500" s="111"/>
      <c r="K500" s="112" t="str">
        <f t="shared" si="38"/>
        <v/>
      </c>
      <c r="L500" s="112" t="str">
        <f t="shared" si="39"/>
        <v/>
      </c>
    </row>
    <row r="501" spans="1:12" outlineLevel="1">
      <c r="A501" s="54"/>
      <c r="B501" s="22" t="s">
        <v>90</v>
      </c>
      <c r="C501" s="46" t="s">
        <v>26</v>
      </c>
      <c r="D501" s="27"/>
      <c r="E501" s="113" t="str">
        <f t="shared" si="36"/>
        <v/>
      </c>
      <c r="F501" s="34" t="str">
        <f t="shared" si="37"/>
        <v/>
      </c>
      <c r="G501" s="14"/>
      <c r="H501" s="57"/>
      <c r="I501" s="111"/>
      <c r="J501" s="111"/>
      <c r="K501" s="112" t="str">
        <f t="shared" si="38"/>
        <v/>
      </c>
      <c r="L501" s="112" t="str">
        <f t="shared" si="39"/>
        <v/>
      </c>
    </row>
    <row r="502" spans="1:12" outlineLevel="1">
      <c r="A502" s="54"/>
      <c r="B502" s="22" t="s">
        <v>91</v>
      </c>
      <c r="C502" s="46" t="s">
        <v>26</v>
      </c>
      <c r="D502" s="27"/>
      <c r="E502" s="113" t="str">
        <f t="shared" si="36"/>
        <v/>
      </c>
      <c r="F502" s="34" t="str">
        <f t="shared" si="37"/>
        <v/>
      </c>
      <c r="G502" s="14"/>
      <c r="H502" s="57"/>
      <c r="I502" s="111"/>
      <c r="J502" s="111"/>
      <c r="K502" s="112" t="str">
        <f t="shared" si="38"/>
        <v/>
      </c>
      <c r="L502" s="112" t="str">
        <f t="shared" si="39"/>
        <v/>
      </c>
    </row>
    <row r="503" spans="1:12" outlineLevel="1">
      <c r="A503" s="54"/>
      <c r="B503" s="22" t="s">
        <v>92</v>
      </c>
      <c r="C503" s="46" t="s">
        <v>26</v>
      </c>
      <c r="D503" s="27"/>
      <c r="E503" s="113" t="str">
        <f t="shared" si="36"/>
        <v/>
      </c>
      <c r="F503" s="34" t="str">
        <f t="shared" si="37"/>
        <v/>
      </c>
      <c r="G503" s="14"/>
      <c r="H503" s="57"/>
      <c r="I503" s="111"/>
      <c r="J503" s="111"/>
      <c r="K503" s="112" t="str">
        <f t="shared" si="38"/>
        <v/>
      </c>
      <c r="L503" s="112" t="str">
        <f t="shared" si="39"/>
        <v/>
      </c>
    </row>
    <row r="504" spans="1:12" outlineLevel="1">
      <c r="A504" s="54"/>
      <c r="B504" s="22" t="s">
        <v>93</v>
      </c>
      <c r="C504" s="46" t="s">
        <v>26</v>
      </c>
      <c r="D504" s="27"/>
      <c r="E504" s="113" t="str">
        <f t="shared" si="36"/>
        <v/>
      </c>
      <c r="F504" s="34" t="str">
        <f t="shared" si="37"/>
        <v/>
      </c>
      <c r="G504" s="14"/>
      <c r="H504" s="57"/>
      <c r="I504" s="111"/>
      <c r="J504" s="111"/>
      <c r="K504" s="112" t="str">
        <f t="shared" si="38"/>
        <v/>
      </c>
      <c r="L504" s="112" t="str">
        <f t="shared" si="39"/>
        <v/>
      </c>
    </row>
    <row r="505" spans="1:12" outlineLevel="1">
      <c r="A505" s="54"/>
      <c r="B505" s="22"/>
      <c r="C505" s="46"/>
      <c r="D505" s="27"/>
      <c r="E505" s="113" t="str">
        <f t="shared" si="36"/>
        <v/>
      </c>
      <c r="F505" s="34" t="str">
        <f t="shared" si="37"/>
        <v/>
      </c>
      <c r="G505" s="14"/>
      <c r="H505" s="57"/>
      <c r="I505" s="111"/>
      <c r="J505" s="111"/>
      <c r="K505" s="112" t="str">
        <f t="shared" si="38"/>
        <v/>
      </c>
      <c r="L505" s="112" t="str">
        <f t="shared" si="39"/>
        <v/>
      </c>
    </row>
    <row r="506" spans="1:12">
      <c r="A506" s="54" t="s">
        <v>226</v>
      </c>
      <c r="B506" s="21" t="s">
        <v>173</v>
      </c>
      <c r="C506" s="26"/>
      <c r="D506" s="27"/>
      <c r="E506" s="113" t="str">
        <f t="shared" si="36"/>
        <v/>
      </c>
      <c r="F506" s="34" t="str">
        <f t="shared" si="37"/>
        <v/>
      </c>
      <c r="G506" s="14"/>
      <c r="H506" s="57"/>
      <c r="I506" s="111"/>
      <c r="J506" s="111"/>
      <c r="K506" s="112" t="str">
        <f t="shared" si="38"/>
        <v/>
      </c>
      <c r="L506" s="112" t="str">
        <f t="shared" si="39"/>
        <v/>
      </c>
    </row>
    <row r="507" spans="1:12" outlineLevel="1">
      <c r="A507" s="54"/>
      <c r="B507" s="22"/>
      <c r="C507" s="26"/>
      <c r="D507" s="27"/>
      <c r="E507" s="113" t="str">
        <f t="shared" si="36"/>
        <v/>
      </c>
      <c r="F507" s="34" t="str">
        <f t="shared" si="37"/>
        <v/>
      </c>
      <c r="G507" s="14"/>
      <c r="H507" s="57"/>
      <c r="I507" s="111"/>
      <c r="J507" s="111"/>
      <c r="K507" s="112" t="str">
        <f t="shared" si="38"/>
        <v/>
      </c>
      <c r="L507" s="112" t="str">
        <f t="shared" si="39"/>
        <v/>
      </c>
    </row>
    <row r="508" spans="1:12" outlineLevel="1">
      <c r="A508" s="54"/>
      <c r="B508" s="22" t="s">
        <v>94</v>
      </c>
      <c r="C508" s="46" t="s">
        <v>3</v>
      </c>
      <c r="D508" s="27"/>
      <c r="E508" s="113" t="str">
        <f t="shared" si="36"/>
        <v/>
      </c>
      <c r="F508" s="34" t="str">
        <f t="shared" si="37"/>
        <v/>
      </c>
      <c r="G508" s="14"/>
      <c r="H508" s="57"/>
      <c r="I508" s="111"/>
      <c r="J508" s="111"/>
      <c r="K508" s="112" t="str">
        <f t="shared" si="38"/>
        <v/>
      </c>
      <c r="L508" s="112" t="str">
        <f t="shared" si="39"/>
        <v/>
      </c>
    </row>
    <row r="509" spans="1:12" outlineLevel="1">
      <c r="A509" s="54"/>
      <c r="B509" s="22" t="s">
        <v>95</v>
      </c>
      <c r="C509" s="46" t="s">
        <v>26</v>
      </c>
      <c r="D509" s="27"/>
      <c r="E509" s="113" t="str">
        <f t="shared" si="36"/>
        <v/>
      </c>
      <c r="F509" s="34" t="str">
        <f t="shared" si="37"/>
        <v/>
      </c>
      <c r="G509" s="14"/>
      <c r="H509" s="57"/>
      <c r="I509" s="111"/>
      <c r="J509" s="111"/>
      <c r="K509" s="112" t="str">
        <f t="shared" si="38"/>
        <v/>
      </c>
      <c r="L509" s="112" t="str">
        <f t="shared" si="39"/>
        <v/>
      </c>
    </row>
    <row r="510" spans="1:12" outlineLevel="1">
      <c r="A510" s="54"/>
      <c r="B510" s="22" t="s">
        <v>440</v>
      </c>
      <c r="C510" s="46" t="s">
        <v>26</v>
      </c>
      <c r="D510" s="27"/>
      <c r="E510" s="113" t="str">
        <f t="shared" si="36"/>
        <v/>
      </c>
      <c r="F510" s="34" t="str">
        <f t="shared" si="37"/>
        <v/>
      </c>
      <c r="G510" s="14"/>
      <c r="H510" s="57"/>
      <c r="I510" s="111"/>
      <c r="J510" s="111"/>
      <c r="K510" s="112" t="str">
        <f t="shared" si="38"/>
        <v/>
      </c>
      <c r="L510" s="112" t="str">
        <f t="shared" si="39"/>
        <v/>
      </c>
    </row>
    <row r="511" spans="1:12" outlineLevel="1">
      <c r="A511" s="54"/>
      <c r="B511" s="22" t="s">
        <v>96</v>
      </c>
      <c r="C511" s="46" t="s">
        <v>26</v>
      </c>
      <c r="D511" s="27"/>
      <c r="E511" s="113" t="str">
        <f t="shared" si="36"/>
        <v/>
      </c>
      <c r="F511" s="34" t="str">
        <f t="shared" si="37"/>
        <v/>
      </c>
      <c r="G511" s="14"/>
      <c r="H511" s="57"/>
      <c r="I511" s="111"/>
      <c r="J511" s="111"/>
      <c r="K511" s="112" t="str">
        <f t="shared" si="38"/>
        <v/>
      </c>
      <c r="L511" s="112" t="str">
        <f t="shared" si="39"/>
        <v/>
      </c>
    </row>
    <row r="512" spans="1:12" outlineLevel="1">
      <c r="A512" s="54"/>
      <c r="B512" s="22" t="s">
        <v>97</v>
      </c>
      <c r="C512" s="46" t="s">
        <v>26</v>
      </c>
      <c r="D512" s="27"/>
      <c r="E512" s="113" t="str">
        <f t="shared" si="36"/>
        <v/>
      </c>
      <c r="F512" s="34" t="str">
        <f t="shared" si="37"/>
        <v/>
      </c>
      <c r="G512" s="14"/>
      <c r="H512" s="57"/>
      <c r="I512" s="111"/>
      <c r="J512" s="111"/>
      <c r="K512" s="112" t="str">
        <f t="shared" si="38"/>
        <v/>
      </c>
      <c r="L512" s="112" t="str">
        <f t="shared" si="39"/>
        <v/>
      </c>
    </row>
    <row r="513" spans="1:12" outlineLevel="1">
      <c r="A513" s="54"/>
      <c r="B513" s="22" t="s">
        <v>98</v>
      </c>
      <c r="C513" s="46" t="s">
        <v>26</v>
      </c>
      <c r="D513" s="27"/>
      <c r="E513" s="113" t="str">
        <f t="shared" si="36"/>
        <v/>
      </c>
      <c r="F513" s="34" t="str">
        <f t="shared" si="37"/>
        <v/>
      </c>
      <c r="G513" s="14"/>
      <c r="H513" s="57"/>
      <c r="I513" s="111"/>
      <c r="J513" s="111"/>
      <c r="K513" s="112" t="str">
        <f t="shared" si="38"/>
        <v/>
      </c>
      <c r="L513" s="112" t="str">
        <f t="shared" si="39"/>
        <v/>
      </c>
    </row>
    <row r="514" spans="1:12" outlineLevel="1">
      <c r="A514" s="54"/>
      <c r="B514" s="22" t="s">
        <v>99</v>
      </c>
      <c r="C514" s="46" t="s">
        <v>3</v>
      </c>
      <c r="D514" s="27"/>
      <c r="E514" s="113" t="str">
        <f t="shared" si="36"/>
        <v/>
      </c>
      <c r="F514" s="34" t="str">
        <f t="shared" si="37"/>
        <v/>
      </c>
      <c r="G514" s="14"/>
      <c r="H514" s="57"/>
      <c r="I514" s="111"/>
      <c r="J514" s="111"/>
      <c r="K514" s="112" t="str">
        <f t="shared" si="38"/>
        <v/>
      </c>
      <c r="L514" s="112" t="str">
        <f t="shared" si="39"/>
        <v/>
      </c>
    </row>
    <row r="515" spans="1:12" outlineLevel="1">
      <c r="A515" s="54"/>
      <c r="B515" s="22" t="s">
        <v>100</v>
      </c>
      <c r="C515" s="46" t="s">
        <v>26</v>
      </c>
      <c r="D515" s="27"/>
      <c r="E515" s="113" t="str">
        <f t="shared" si="36"/>
        <v/>
      </c>
      <c r="F515" s="34" t="str">
        <f t="shared" si="37"/>
        <v/>
      </c>
      <c r="G515" s="14"/>
      <c r="H515" s="57"/>
      <c r="I515" s="111"/>
      <c r="J515" s="111"/>
      <c r="K515" s="112" t="str">
        <f t="shared" si="38"/>
        <v/>
      </c>
      <c r="L515" s="112" t="str">
        <f t="shared" si="39"/>
        <v/>
      </c>
    </row>
    <row r="516" spans="1:12" outlineLevel="1">
      <c r="A516" s="54"/>
      <c r="B516" s="22" t="s">
        <v>101</v>
      </c>
      <c r="C516" s="46" t="s">
        <v>3</v>
      </c>
      <c r="D516" s="27"/>
      <c r="E516" s="113" t="str">
        <f t="shared" si="36"/>
        <v/>
      </c>
      <c r="F516" s="34" t="str">
        <f t="shared" si="37"/>
        <v/>
      </c>
      <c r="G516" s="14"/>
      <c r="H516" s="57"/>
      <c r="I516" s="111"/>
      <c r="J516" s="111"/>
      <c r="K516" s="112" t="str">
        <f t="shared" si="38"/>
        <v/>
      </c>
      <c r="L516" s="112" t="str">
        <f t="shared" si="39"/>
        <v/>
      </c>
    </row>
    <row r="517" spans="1:12" ht="16.5" customHeight="1" outlineLevel="1">
      <c r="A517" s="54"/>
      <c r="B517" s="8" t="s">
        <v>172</v>
      </c>
      <c r="C517" s="26" t="s">
        <v>153</v>
      </c>
      <c r="D517" s="27"/>
      <c r="E517" s="113" t="str">
        <f t="shared" si="36"/>
        <v/>
      </c>
      <c r="F517" s="34" t="str">
        <f t="shared" si="37"/>
        <v/>
      </c>
      <c r="G517" s="14"/>
      <c r="H517" s="57"/>
      <c r="I517" s="111"/>
      <c r="J517" s="111"/>
      <c r="K517" s="112" t="str">
        <f t="shared" si="38"/>
        <v/>
      </c>
      <c r="L517" s="112" t="str">
        <f t="shared" si="39"/>
        <v/>
      </c>
    </row>
    <row r="518" spans="1:12" outlineLevel="1">
      <c r="A518" s="54"/>
      <c r="B518" s="22" t="s">
        <v>102</v>
      </c>
      <c r="C518" s="46" t="s">
        <v>3</v>
      </c>
      <c r="D518" s="27"/>
      <c r="E518" s="113" t="str">
        <f t="shared" si="36"/>
        <v/>
      </c>
      <c r="F518" s="34" t="str">
        <f t="shared" si="37"/>
        <v/>
      </c>
      <c r="G518" s="14"/>
      <c r="H518" s="57"/>
      <c r="I518" s="111"/>
      <c r="J518" s="111"/>
      <c r="K518" s="112" t="str">
        <f t="shared" si="38"/>
        <v/>
      </c>
      <c r="L518" s="112" t="str">
        <f t="shared" si="39"/>
        <v/>
      </c>
    </row>
    <row r="519" spans="1:12" outlineLevel="1">
      <c r="A519" s="54"/>
      <c r="B519" s="22" t="s">
        <v>103</v>
      </c>
      <c r="C519" s="46" t="s">
        <v>26</v>
      </c>
      <c r="D519" s="27"/>
      <c r="E519" s="113" t="str">
        <f t="shared" si="36"/>
        <v/>
      </c>
      <c r="F519" s="34" t="str">
        <f t="shared" si="37"/>
        <v/>
      </c>
      <c r="G519" s="14"/>
      <c r="H519" s="57"/>
      <c r="I519" s="111"/>
      <c r="J519" s="111"/>
      <c r="K519" s="112" t="str">
        <f t="shared" si="38"/>
        <v/>
      </c>
      <c r="L519" s="112" t="str">
        <f t="shared" si="39"/>
        <v/>
      </c>
    </row>
    <row r="520" spans="1:12" outlineLevel="1">
      <c r="A520" s="54"/>
      <c r="B520" s="22" t="s">
        <v>104</v>
      </c>
      <c r="C520" s="46" t="s">
        <v>26</v>
      </c>
      <c r="D520" s="27"/>
      <c r="E520" s="113" t="str">
        <f t="shared" si="36"/>
        <v/>
      </c>
      <c r="F520" s="34" t="str">
        <f t="shared" si="37"/>
        <v/>
      </c>
      <c r="G520" s="14"/>
      <c r="H520" s="57"/>
      <c r="I520" s="111"/>
      <c r="J520" s="111"/>
      <c r="K520" s="112" t="str">
        <f t="shared" si="38"/>
        <v/>
      </c>
      <c r="L520" s="112" t="str">
        <f t="shared" si="39"/>
        <v/>
      </c>
    </row>
    <row r="521" spans="1:12" outlineLevel="1">
      <c r="A521" s="54"/>
      <c r="B521" s="22" t="s">
        <v>105</v>
      </c>
      <c r="C521" s="46" t="s">
        <v>26</v>
      </c>
      <c r="D521" s="27"/>
      <c r="E521" s="113" t="str">
        <f t="shared" si="36"/>
        <v/>
      </c>
      <c r="F521" s="34" t="str">
        <f t="shared" si="37"/>
        <v/>
      </c>
      <c r="G521" s="14"/>
      <c r="H521" s="57"/>
      <c r="I521" s="111"/>
      <c r="J521" s="111"/>
      <c r="K521" s="112" t="str">
        <f t="shared" si="38"/>
        <v/>
      </c>
      <c r="L521" s="112" t="str">
        <f t="shared" si="39"/>
        <v/>
      </c>
    </row>
    <row r="522" spans="1:12" outlineLevel="1">
      <c r="A522" s="54"/>
      <c r="B522" s="22" t="s">
        <v>106</v>
      </c>
      <c r="C522" s="46" t="s">
        <v>26</v>
      </c>
      <c r="D522" s="27"/>
      <c r="E522" s="113" t="str">
        <f t="shared" si="36"/>
        <v/>
      </c>
      <c r="F522" s="34" t="str">
        <f t="shared" si="37"/>
        <v/>
      </c>
      <c r="G522" s="14"/>
      <c r="H522" s="57"/>
      <c r="I522" s="111"/>
      <c r="J522" s="111"/>
      <c r="K522" s="112" t="str">
        <f t="shared" si="38"/>
        <v/>
      </c>
      <c r="L522" s="112" t="str">
        <f t="shared" si="39"/>
        <v/>
      </c>
    </row>
    <row r="523" spans="1:12" outlineLevel="1">
      <c r="A523" s="54"/>
      <c r="B523" s="22" t="s">
        <v>174</v>
      </c>
      <c r="C523" s="46" t="s">
        <v>26</v>
      </c>
      <c r="D523" s="27"/>
      <c r="E523" s="113" t="str">
        <f t="shared" si="36"/>
        <v/>
      </c>
      <c r="F523" s="34" t="str">
        <f t="shared" si="37"/>
        <v/>
      </c>
      <c r="G523" s="14"/>
      <c r="H523" s="57"/>
      <c r="I523" s="111"/>
      <c r="J523" s="111"/>
      <c r="K523" s="112" t="str">
        <f t="shared" si="38"/>
        <v/>
      </c>
      <c r="L523" s="112" t="str">
        <f t="shared" si="39"/>
        <v/>
      </c>
    </row>
    <row r="524" spans="1:12" ht="15.75" customHeight="1" outlineLevel="1">
      <c r="A524" s="54"/>
      <c r="B524" s="8" t="s">
        <v>107</v>
      </c>
      <c r="C524" s="26" t="s">
        <v>26</v>
      </c>
      <c r="D524" s="27"/>
      <c r="E524" s="113" t="str">
        <f t="shared" si="36"/>
        <v/>
      </c>
      <c r="F524" s="34" t="str">
        <f t="shared" si="37"/>
        <v/>
      </c>
      <c r="G524" s="14"/>
      <c r="H524" s="57"/>
      <c r="I524" s="111"/>
      <c r="J524" s="111"/>
      <c r="K524" s="112" t="str">
        <f t="shared" si="38"/>
        <v/>
      </c>
      <c r="L524" s="112" t="str">
        <f t="shared" si="39"/>
        <v/>
      </c>
    </row>
    <row r="525" spans="1:12" ht="15.75" customHeight="1" outlineLevel="1">
      <c r="A525" s="54"/>
      <c r="B525" s="8" t="s">
        <v>108</v>
      </c>
      <c r="C525" s="26" t="s">
        <v>26</v>
      </c>
      <c r="D525" s="27"/>
      <c r="E525" s="113" t="str">
        <f t="shared" si="36"/>
        <v/>
      </c>
      <c r="F525" s="34" t="str">
        <f t="shared" si="37"/>
        <v/>
      </c>
      <c r="G525" s="14"/>
      <c r="H525" s="57"/>
      <c r="I525" s="111"/>
      <c r="J525" s="111"/>
      <c r="K525" s="112" t="str">
        <f t="shared" si="38"/>
        <v/>
      </c>
      <c r="L525" s="112" t="str">
        <f t="shared" si="39"/>
        <v/>
      </c>
    </row>
    <row r="526" spans="1:12" ht="15.75" customHeight="1" outlineLevel="1">
      <c r="A526" s="54"/>
      <c r="B526" s="22" t="s">
        <v>109</v>
      </c>
      <c r="C526" s="26" t="s">
        <v>26</v>
      </c>
      <c r="D526" s="27"/>
      <c r="E526" s="113" t="str">
        <f t="shared" si="36"/>
        <v/>
      </c>
      <c r="F526" s="34" t="str">
        <f t="shared" si="37"/>
        <v/>
      </c>
      <c r="G526" s="14"/>
      <c r="H526" s="57"/>
      <c r="I526" s="111"/>
      <c r="J526" s="111"/>
      <c r="K526" s="112" t="str">
        <f t="shared" si="38"/>
        <v/>
      </c>
      <c r="L526" s="112" t="str">
        <f t="shared" si="39"/>
        <v/>
      </c>
    </row>
    <row r="527" spans="1:12" ht="15.75" customHeight="1" outlineLevel="1">
      <c r="A527" s="54"/>
      <c r="B527" s="22" t="s">
        <v>110</v>
      </c>
      <c r="C527" s="46" t="s">
        <v>26</v>
      </c>
      <c r="D527" s="27"/>
      <c r="E527" s="113" t="str">
        <f t="shared" si="36"/>
        <v/>
      </c>
      <c r="F527" s="34" t="str">
        <f t="shared" si="37"/>
        <v/>
      </c>
      <c r="G527" s="14"/>
      <c r="H527" s="57"/>
      <c r="I527" s="111"/>
      <c r="J527" s="111"/>
      <c r="K527" s="112" t="str">
        <f t="shared" si="38"/>
        <v/>
      </c>
      <c r="L527" s="112" t="str">
        <f t="shared" si="39"/>
        <v/>
      </c>
    </row>
    <row r="528" spans="1:12" ht="15.75" customHeight="1" outlineLevel="1">
      <c r="A528" s="54"/>
      <c r="B528" s="22" t="s">
        <v>111</v>
      </c>
      <c r="C528" s="46" t="s">
        <v>26</v>
      </c>
      <c r="D528" s="27"/>
      <c r="E528" s="113" t="str">
        <f t="shared" si="36"/>
        <v/>
      </c>
      <c r="F528" s="34" t="str">
        <f t="shared" si="37"/>
        <v/>
      </c>
      <c r="G528" s="14"/>
      <c r="H528" s="57"/>
      <c r="I528" s="111"/>
      <c r="J528" s="111"/>
      <c r="K528" s="112" t="str">
        <f t="shared" si="38"/>
        <v/>
      </c>
      <c r="L528" s="112" t="str">
        <f t="shared" si="39"/>
        <v/>
      </c>
    </row>
    <row r="529" spans="1:12" ht="16.5" customHeight="1" outlineLevel="1">
      <c r="A529" s="54"/>
      <c r="B529" s="8" t="s">
        <v>250</v>
      </c>
      <c r="C529" s="26" t="s">
        <v>3</v>
      </c>
      <c r="D529" s="27"/>
      <c r="E529" s="113" t="str">
        <f t="shared" si="36"/>
        <v/>
      </c>
      <c r="F529" s="34" t="str">
        <f t="shared" si="37"/>
        <v/>
      </c>
      <c r="G529" s="14"/>
      <c r="H529" s="57"/>
      <c r="I529" s="111"/>
      <c r="J529" s="111"/>
      <c r="K529" s="112" t="str">
        <f t="shared" si="38"/>
        <v/>
      </c>
      <c r="L529" s="112" t="str">
        <f t="shared" si="39"/>
        <v/>
      </c>
    </row>
    <row r="530" spans="1:12" ht="15.75" customHeight="1" outlineLevel="1">
      <c r="A530" s="54"/>
      <c r="B530" s="8"/>
      <c r="C530" s="26"/>
      <c r="D530" s="27"/>
      <c r="E530" s="113" t="str">
        <f t="shared" si="36"/>
        <v/>
      </c>
      <c r="F530" s="34" t="str">
        <f t="shared" si="37"/>
        <v/>
      </c>
      <c r="G530" s="14"/>
      <c r="H530" s="57"/>
      <c r="I530" s="111"/>
      <c r="J530" s="111"/>
      <c r="K530" s="112" t="str">
        <f t="shared" si="38"/>
        <v/>
      </c>
      <c r="L530" s="112" t="str">
        <f t="shared" si="39"/>
        <v/>
      </c>
    </row>
    <row r="531" spans="1:12">
      <c r="A531" s="54" t="s">
        <v>232</v>
      </c>
      <c r="B531" s="20" t="s">
        <v>114</v>
      </c>
      <c r="C531" s="26"/>
      <c r="D531" s="27"/>
      <c r="E531" s="113" t="str">
        <f t="shared" si="36"/>
        <v/>
      </c>
      <c r="F531" s="34" t="str">
        <f t="shared" si="37"/>
        <v/>
      </c>
      <c r="G531" s="14"/>
      <c r="H531" s="57"/>
      <c r="I531" s="111"/>
      <c r="J531" s="111"/>
      <c r="K531" s="112" t="str">
        <f t="shared" si="38"/>
        <v/>
      </c>
      <c r="L531" s="112" t="str">
        <f t="shared" si="39"/>
        <v/>
      </c>
    </row>
    <row r="532" spans="1:12" outlineLevel="1">
      <c r="A532" s="54"/>
      <c r="B532" s="13"/>
      <c r="C532" s="26"/>
      <c r="D532" s="27"/>
      <c r="E532" s="113" t="str">
        <f t="shared" si="36"/>
        <v/>
      </c>
      <c r="F532" s="34" t="str">
        <f t="shared" si="37"/>
        <v/>
      </c>
      <c r="G532" s="14"/>
      <c r="H532" s="57"/>
      <c r="I532" s="111"/>
      <c r="J532" s="111"/>
      <c r="K532" s="112" t="str">
        <f t="shared" si="38"/>
        <v/>
      </c>
      <c r="L532" s="112" t="str">
        <f t="shared" si="39"/>
        <v/>
      </c>
    </row>
    <row r="533" spans="1:12" outlineLevel="1">
      <c r="A533" s="54"/>
      <c r="B533" s="41" t="s">
        <v>112</v>
      </c>
      <c r="C533" s="26" t="s">
        <v>12</v>
      </c>
      <c r="D533" s="27"/>
      <c r="E533" s="113" t="str">
        <f t="shared" si="36"/>
        <v/>
      </c>
      <c r="F533" s="34" t="str">
        <f t="shared" si="37"/>
        <v/>
      </c>
      <c r="G533" s="14"/>
      <c r="H533" s="57"/>
      <c r="I533" s="111"/>
      <c r="J533" s="111"/>
      <c r="K533" s="112" t="str">
        <f t="shared" si="38"/>
        <v/>
      </c>
      <c r="L533" s="112" t="str">
        <f t="shared" si="39"/>
        <v/>
      </c>
    </row>
    <row r="534" spans="1:12" outlineLevel="1">
      <c r="A534" s="54"/>
      <c r="B534" s="41" t="s">
        <v>40</v>
      </c>
      <c r="C534" s="26" t="s">
        <v>3</v>
      </c>
      <c r="D534" s="27"/>
      <c r="E534" s="113" t="str">
        <f t="shared" si="36"/>
        <v/>
      </c>
      <c r="F534" s="34" t="str">
        <f t="shared" si="37"/>
        <v/>
      </c>
      <c r="G534" s="14"/>
      <c r="H534" s="57"/>
      <c r="I534" s="111"/>
      <c r="J534" s="111"/>
      <c r="K534" s="112" t="str">
        <f t="shared" si="38"/>
        <v/>
      </c>
      <c r="L534" s="112" t="str">
        <f t="shared" si="39"/>
        <v/>
      </c>
    </row>
    <row r="535" spans="1:12" outlineLevel="1">
      <c r="A535" s="54"/>
      <c r="B535" s="41" t="s">
        <v>116</v>
      </c>
      <c r="C535" s="26" t="s">
        <v>3</v>
      </c>
      <c r="D535" s="27"/>
      <c r="E535" s="113" t="str">
        <f t="shared" si="36"/>
        <v/>
      </c>
      <c r="F535" s="34" t="str">
        <f t="shared" si="37"/>
        <v/>
      </c>
      <c r="G535" s="14"/>
      <c r="H535" s="57"/>
      <c r="I535" s="111"/>
      <c r="J535" s="111"/>
      <c r="K535" s="112" t="str">
        <f t="shared" si="38"/>
        <v/>
      </c>
      <c r="L535" s="112" t="str">
        <f t="shared" si="39"/>
        <v/>
      </c>
    </row>
    <row r="536" spans="1:12" outlineLevel="1">
      <c r="A536" s="54"/>
      <c r="B536" s="41" t="s">
        <v>42</v>
      </c>
      <c r="C536" s="26" t="s">
        <v>3</v>
      </c>
      <c r="D536" s="27"/>
      <c r="E536" s="113" t="str">
        <f t="shared" si="36"/>
        <v/>
      </c>
      <c r="F536" s="34" t="str">
        <f t="shared" si="37"/>
        <v/>
      </c>
      <c r="G536" s="14"/>
      <c r="H536" s="57"/>
      <c r="I536" s="111"/>
      <c r="J536" s="111"/>
      <c r="K536" s="112" t="str">
        <f t="shared" si="38"/>
        <v/>
      </c>
      <c r="L536" s="112" t="str">
        <f t="shared" si="39"/>
        <v/>
      </c>
    </row>
    <row r="537" spans="1:12" outlineLevel="1">
      <c r="A537" s="54"/>
      <c r="B537" s="41" t="s">
        <v>113</v>
      </c>
      <c r="C537" s="26" t="s">
        <v>3</v>
      </c>
      <c r="D537" s="27"/>
      <c r="E537" s="113" t="str">
        <f t="shared" si="36"/>
        <v/>
      </c>
      <c r="F537" s="34" t="str">
        <f t="shared" si="37"/>
        <v/>
      </c>
      <c r="G537" s="14"/>
      <c r="H537" s="57"/>
      <c r="I537" s="111"/>
      <c r="J537" s="111"/>
      <c r="K537" s="112" t="str">
        <f t="shared" si="38"/>
        <v/>
      </c>
      <c r="L537" s="112" t="str">
        <f t="shared" si="39"/>
        <v/>
      </c>
    </row>
    <row r="538" spans="1:12" outlineLevel="1">
      <c r="A538" s="54"/>
      <c r="B538" s="42" t="s">
        <v>25</v>
      </c>
      <c r="C538" s="26"/>
      <c r="D538" s="27"/>
      <c r="E538" s="113" t="str">
        <f t="shared" si="36"/>
        <v/>
      </c>
      <c r="F538" s="34" t="str">
        <f t="shared" si="37"/>
        <v/>
      </c>
      <c r="G538" s="14"/>
      <c r="H538" s="57"/>
      <c r="I538" s="111"/>
      <c r="J538" s="111"/>
      <c r="K538" s="112" t="str">
        <f t="shared" si="38"/>
        <v/>
      </c>
      <c r="L538" s="112" t="str">
        <f t="shared" si="39"/>
        <v/>
      </c>
    </row>
    <row r="539" spans="1:12" outlineLevel="1">
      <c r="A539" s="54"/>
      <c r="B539" s="43"/>
      <c r="C539" s="26"/>
      <c r="D539" s="27"/>
      <c r="E539" s="113" t="str">
        <f t="shared" si="36"/>
        <v/>
      </c>
      <c r="F539" s="34" t="str">
        <f t="shared" si="37"/>
        <v/>
      </c>
      <c r="G539" s="14"/>
      <c r="H539" s="57"/>
      <c r="I539" s="111"/>
      <c r="J539" s="111"/>
      <c r="K539" s="112" t="str">
        <f t="shared" si="38"/>
        <v/>
      </c>
      <c r="L539" s="112" t="str">
        <f t="shared" si="39"/>
        <v/>
      </c>
    </row>
    <row r="540" spans="1:12">
      <c r="A540" s="54" t="s">
        <v>233</v>
      </c>
      <c r="B540" s="20" t="s">
        <v>115</v>
      </c>
      <c r="C540" s="26"/>
      <c r="D540" s="27"/>
      <c r="E540" s="113" t="str">
        <f t="shared" si="36"/>
        <v/>
      </c>
      <c r="F540" s="34" t="str">
        <f t="shared" si="37"/>
        <v/>
      </c>
      <c r="G540" s="14"/>
      <c r="H540" s="57"/>
      <c r="I540" s="111"/>
      <c r="J540" s="111"/>
      <c r="K540" s="112" t="str">
        <f t="shared" si="38"/>
        <v/>
      </c>
      <c r="L540" s="112" t="str">
        <f t="shared" si="39"/>
        <v/>
      </c>
    </row>
    <row r="541" spans="1:12" outlineLevel="1">
      <c r="A541" s="54"/>
      <c r="B541" s="13"/>
      <c r="C541" s="26"/>
      <c r="D541" s="27"/>
      <c r="E541" s="113" t="str">
        <f t="shared" si="36"/>
        <v/>
      </c>
      <c r="F541" s="34" t="str">
        <f t="shared" si="37"/>
        <v/>
      </c>
      <c r="G541" s="14"/>
      <c r="H541" s="57"/>
      <c r="I541" s="111"/>
      <c r="J541" s="111"/>
      <c r="K541" s="112" t="str">
        <f t="shared" si="38"/>
        <v/>
      </c>
      <c r="L541" s="112" t="str">
        <f t="shared" si="39"/>
        <v/>
      </c>
    </row>
    <row r="542" spans="1:12" outlineLevel="1">
      <c r="A542" s="54"/>
      <c r="B542" s="41" t="s">
        <v>117</v>
      </c>
      <c r="C542" s="26" t="s">
        <v>3</v>
      </c>
      <c r="D542" s="27"/>
      <c r="E542" s="113" t="str">
        <f t="shared" si="36"/>
        <v/>
      </c>
      <c r="F542" s="34" t="str">
        <f t="shared" si="37"/>
        <v/>
      </c>
      <c r="G542" s="14"/>
      <c r="H542" s="57"/>
      <c r="I542" s="111"/>
      <c r="J542" s="111"/>
      <c r="K542" s="112" t="str">
        <f t="shared" si="38"/>
        <v/>
      </c>
      <c r="L542" s="112" t="str">
        <f t="shared" si="39"/>
        <v/>
      </c>
    </row>
    <row r="543" spans="1:12" outlineLevel="1">
      <c r="A543" s="54"/>
      <c r="B543" s="41" t="s">
        <v>40</v>
      </c>
      <c r="C543" s="26" t="s">
        <v>26</v>
      </c>
      <c r="D543" s="27"/>
      <c r="E543" s="113" t="str">
        <f t="shared" si="36"/>
        <v/>
      </c>
      <c r="F543" s="34" t="str">
        <f t="shared" si="37"/>
        <v/>
      </c>
      <c r="G543" s="14"/>
      <c r="H543" s="57"/>
      <c r="I543" s="111"/>
      <c r="J543" s="111"/>
      <c r="K543" s="112" t="str">
        <f t="shared" si="38"/>
        <v/>
      </c>
      <c r="L543" s="112" t="str">
        <f t="shared" si="39"/>
        <v/>
      </c>
    </row>
    <row r="544" spans="1:12" outlineLevel="1">
      <c r="A544" s="54"/>
      <c r="B544" s="41" t="s">
        <v>116</v>
      </c>
      <c r="C544" s="26" t="s">
        <v>26</v>
      </c>
      <c r="D544" s="27"/>
      <c r="E544" s="113" t="str">
        <f t="shared" si="36"/>
        <v/>
      </c>
      <c r="F544" s="34" t="str">
        <f t="shared" si="37"/>
        <v/>
      </c>
      <c r="G544" s="14"/>
      <c r="H544" s="57"/>
      <c r="I544" s="111"/>
      <c r="J544" s="111"/>
      <c r="K544" s="112" t="str">
        <f t="shared" si="38"/>
        <v/>
      </c>
      <c r="L544" s="112" t="str">
        <f t="shared" si="39"/>
        <v/>
      </c>
    </row>
    <row r="545" spans="1:12" outlineLevel="1">
      <c r="A545" s="54"/>
      <c r="B545" s="41" t="s">
        <v>42</v>
      </c>
      <c r="C545" s="26" t="s">
        <v>26</v>
      </c>
      <c r="D545" s="27"/>
      <c r="E545" s="113" t="str">
        <f t="shared" si="36"/>
        <v/>
      </c>
      <c r="F545" s="34" t="str">
        <f t="shared" si="37"/>
        <v/>
      </c>
      <c r="G545" s="14"/>
      <c r="H545" s="57"/>
      <c r="I545" s="111"/>
      <c r="J545" s="111"/>
      <c r="K545" s="112" t="str">
        <f t="shared" si="38"/>
        <v/>
      </c>
      <c r="L545" s="112" t="str">
        <f t="shared" si="39"/>
        <v/>
      </c>
    </row>
    <row r="546" spans="1:12" outlineLevel="1">
      <c r="A546" s="54"/>
      <c r="B546" s="41" t="s">
        <v>113</v>
      </c>
      <c r="C546" s="26" t="s">
        <v>26</v>
      </c>
      <c r="D546" s="27"/>
      <c r="E546" s="113" t="str">
        <f t="shared" si="36"/>
        <v/>
      </c>
      <c r="F546" s="34" t="str">
        <f t="shared" si="37"/>
        <v/>
      </c>
      <c r="G546" s="14"/>
      <c r="H546" s="57"/>
      <c r="I546" s="111"/>
      <c r="J546" s="111"/>
      <c r="K546" s="112" t="str">
        <f t="shared" si="38"/>
        <v/>
      </c>
      <c r="L546" s="112" t="str">
        <f t="shared" si="39"/>
        <v/>
      </c>
    </row>
    <row r="547" spans="1:12" outlineLevel="1">
      <c r="A547" s="54"/>
      <c r="B547" s="42" t="s">
        <v>25</v>
      </c>
      <c r="C547" s="26"/>
      <c r="D547" s="27"/>
      <c r="E547" s="113" t="str">
        <f t="shared" si="36"/>
        <v/>
      </c>
      <c r="F547" s="34" t="str">
        <f t="shared" si="37"/>
        <v/>
      </c>
      <c r="G547" s="14"/>
      <c r="H547" s="57"/>
      <c r="I547" s="111"/>
      <c r="J547" s="111"/>
      <c r="K547" s="112" t="str">
        <f t="shared" si="38"/>
        <v/>
      </c>
      <c r="L547" s="112" t="str">
        <f t="shared" si="39"/>
        <v/>
      </c>
    </row>
    <row r="548" spans="1:12" outlineLevel="1">
      <c r="A548" s="54"/>
      <c r="B548" s="44"/>
      <c r="C548" s="26"/>
      <c r="D548" s="27"/>
      <c r="E548" s="113" t="str">
        <f t="shared" si="36"/>
        <v/>
      </c>
      <c r="F548" s="34" t="str">
        <f t="shared" si="37"/>
        <v/>
      </c>
      <c r="G548" s="14"/>
      <c r="H548" s="57"/>
      <c r="I548" s="111"/>
      <c r="J548" s="111"/>
      <c r="K548" s="112" t="str">
        <f t="shared" si="38"/>
        <v/>
      </c>
      <c r="L548" s="112" t="str">
        <f t="shared" si="39"/>
        <v/>
      </c>
    </row>
    <row r="549" spans="1:12">
      <c r="A549" s="54" t="s">
        <v>234</v>
      </c>
      <c r="B549" s="76" t="s">
        <v>350</v>
      </c>
      <c r="C549" s="26"/>
      <c r="D549" s="27"/>
      <c r="E549" s="113" t="str">
        <f t="shared" si="36"/>
        <v/>
      </c>
      <c r="F549" s="34" t="str">
        <f t="shared" si="37"/>
        <v/>
      </c>
      <c r="G549" s="14"/>
      <c r="H549" s="57"/>
      <c r="I549" s="111"/>
      <c r="J549" s="111"/>
      <c r="K549" s="112" t="str">
        <f t="shared" si="38"/>
        <v/>
      </c>
      <c r="L549" s="112" t="str">
        <f t="shared" si="39"/>
        <v/>
      </c>
    </row>
    <row r="550" spans="1:12" outlineLevel="1">
      <c r="A550" s="54"/>
      <c r="B550" s="22"/>
      <c r="C550" s="26"/>
      <c r="D550" s="27"/>
      <c r="E550" s="113" t="str">
        <f t="shared" si="36"/>
        <v/>
      </c>
      <c r="F550" s="34" t="str">
        <f t="shared" si="37"/>
        <v/>
      </c>
      <c r="G550" s="14"/>
      <c r="H550" s="57"/>
      <c r="I550" s="111"/>
      <c r="J550" s="111"/>
      <c r="K550" s="112" t="str">
        <f t="shared" si="38"/>
        <v/>
      </c>
      <c r="L550" s="112" t="str">
        <f t="shared" si="39"/>
        <v/>
      </c>
    </row>
    <row r="551" spans="1:12" outlineLevel="1">
      <c r="A551" s="54"/>
      <c r="B551" s="22" t="s">
        <v>201</v>
      </c>
      <c r="C551" s="26" t="s">
        <v>3</v>
      </c>
      <c r="D551" s="27"/>
      <c r="E551" s="113" t="str">
        <f t="shared" si="36"/>
        <v/>
      </c>
      <c r="F551" s="34" t="str">
        <f t="shared" si="37"/>
        <v/>
      </c>
      <c r="G551" s="14"/>
      <c r="H551" s="57"/>
      <c r="I551" s="111"/>
      <c r="J551" s="111"/>
      <c r="K551" s="112" t="str">
        <f t="shared" si="38"/>
        <v/>
      </c>
      <c r="L551" s="112" t="str">
        <f t="shared" si="39"/>
        <v/>
      </c>
    </row>
    <row r="552" spans="1:12" outlineLevel="1">
      <c r="A552" s="54"/>
      <c r="B552" s="22" t="s">
        <v>202</v>
      </c>
      <c r="C552" s="26" t="s">
        <v>26</v>
      </c>
      <c r="D552" s="27"/>
      <c r="E552" s="113" t="str">
        <f t="shared" si="36"/>
        <v/>
      </c>
      <c r="F552" s="34" t="str">
        <f t="shared" si="37"/>
        <v/>
      </c>
      <c r="G552" s="14"/>
      <c r="H552" s="57"/>
      <c r="I552" s="111"/>
      <c r="J552" s="111"/>
      <c r="K552" s="112" t="str">
        <f t="shared" si="38"/>
        <v/>
      </c>
      <c r="L552" s="112" t="str">
        <f t="shared" si="39"/>
        <v/>
      </c>
    </row>
    <row r="553" spans="1:12" outlineLevel="1">
      <c r="A553" s="54"/>
      <c r="B553" s="22" t="s">
        <v>191</v>
      </c>
      <c r="C553" s="46" t="s">
        <v>4</v>
      </c>
      <c r="D553" s="27"/>
      <c r="E553" s="113" t="str">
        <f t="shared" si="36"/>
        <v/>
      </c>
      <c r="F553" s="34" t="str">
        <f t="shared" si="37"/>
        <v/>
      </c>
      <c r="G553" s="14"/>
      <c r="H553" s="57"/>
      <c r="I553" s="111"/>
      <c r="J553" s="111"/>
      <c r="K553" s="112" t="str">
        <f t="shared" si="38"/>
        <v/>
      </c>
      <c r="L553" s="112" t="str">
        <f t="shared" si="39"/>
        <v/>
      </c>
    </row>
    <row r="554" spans="1:12" outlineLevel="1">
      <c r="A554" s="54"/>
      <c r="B554" s="22" t="s">
        <v>56</v>
      </c>
      <c r="C554" s="46" t="s">
        <v>4</v>
      </c>
      <c r="D554" s="27"/>
      <c r="E554" s="113" t="str">
        <f t="shared" si="36"/>
        <v/>
      </c>
      <c r="F554" s="34" t="str">
        <f t="shared" si="37"/>
        <v/>
      </c>
      <c r="G554" s="14"/>
      <c r="H554" s="57"/>
      <c r="I554" s="111"/>
      <c r="J554" s="111"/>
      <c r="K554" s="112" t="str">
        <f t="shared" si="38"/>
        <v/>
      </c>
      <c r="L554" s="112" t="str">
        <f t="shared" si="39"/>
        <v/>
      </c>
    </row>
    <row r="555" spans="1:12" outlineLevel="1">
      <c r="A555" s="54"/>
      <c r="B555" s="22" t="s">
        <v>199</v>
      </c>
      <c r="C555" s="46" t="s">
        <v>4</v>
      </c>
      <c r="D555" s="27"/>
      <c r="E555" s="113" t="str">
        <f t="shared" si="36"/>
        <v/>
      </c>
      <c r="F555" s="34" t="str">
        <f t="shared" si="37"/>
        <v/>
      </c>
      <c r="G555" s="14"/>
      <c r="H555" s="57"/>
      <c r="I555" s="111"/>
      <c r="J555" s="111"/>
      <c r="K555" s="112" t="str">
        <f t="shared" si="38"/>
        <v/>
      </c>
      <c r="L555" s="112" t="str">
        <f t="shared" si="39"/>
        <v/>
      </c>
    </row>
    <row r="556" spans="1:12" outlineLevel="1">
      <c r="A556" s="54"/>
      <c r="B556" s="22" t="s">
        <v>57</v>
      </c>
      <c r="C556" s="46" t="s">
        <v>4</v>
      </c>
      <c r="D556" s="27"/>
      <c r="E556" s="113" t="str">
        <f t="shared" ref="E556:E619" si="40">IF(D556="","",(((K556*$L$2)+(L556*$J$2*$J$3))*$L$3)/D556)</f>
        <v/>
      </c>
      <c r="F556" s="34" t="str">
        <f t="shared" ref="F556:F619" si="41">IF(D556="","",D556*E556)</f>
        <v/>
      </c>
      <c r="G556" s="14"/>
      <c r="H556" s="57"/>
      <c r="I556" s="111"/>
      <c r="J556" s="111"/>
      <c r="K556" s="112" t="str">
        <f t="shared" ref="K556:K619" si="42">IF(D556="","",I556*D556)</f>
        <v/>
      </c>
      <c r="L556" s="112" t="str">
        <f t="shared" ref="L556:L619" si="43">IF(D556="","",D556*J556)</f>
        <v/>
      </c>
    </row>
    <row r="557" spans="1:12" outlineLevel="1">
      <c r="A557" s="54"/>
      <c r="B557" s="22" t="s">
        <v>288</v>
      </c>
      <c r="C557" s="46" t="s">
        <v>4</v>
      </c>
      <c r="D557" s="27"/>
      <c r="E557" s="113" t="str">
        <f t="shared" si="40"/>
        <v/>
      </c>
      <c r="F557" s="34" t="str">
        <f t="shared" si="41"/>
        <v/>
      </c>
      <c r="G557" s="14"/>
      <c r="H557" s="57"/>
      <c r="I557" s="111"/>
      <c r="J557" s="111"/>
      <c r="K557" s="112" t="str">
        <f t="shared" si="42"/>
        <v/>
      </c>
      <c r="L557" s="112" t="str">
        <f t="shared" si="43"/>
        <v/>
      </c>
    </row>
    <row r="558" spans="1:12" outlineLevel="1">
      <c r="A558" s="54"/>
      <c r="B558" s="22" t="s">
        <v>351</v>
      </c>
      <c r="C558" s="46" t="s">
        <v>4</v>
      </c>
      <c r="D558" s="27"/>
      <c r="E558" s="113" t="str">
        <f t="shared" si="40"/>
        <v/>
      </c>
      <c r="F558" s="34" t="str">
        <f t="shared" si="41"/>
        <v/>
      </c>
      <c r="G558" s="14"/>
      <c r="H558" s="57"/>
      <c r="I558" s="111"/>
      <c r="J558" s="111"/>
      <c r="K558" s="112" t="str">
        <f t="shared" si="42"/>
        <v/>
      </c>
      <c r="L558" s="112" t="str">
        <f t="shared" si="43"/>
        <v/>
      </c>
    </row>
    <row r="559" spans="1:12" outlineLevel="1">
      <c r="A559" s="54"/>
      <c r="B559" s="22" t="s">
        <v>251</v>
      </c>
      <c r="C559" s="46" t="s">
        <v>3</v>
      </c>
      <c r="D559" s="27"/>
      <c r="E559" s="113" t="str">
        <f t="shared" si="40"/>
        <v/>
      </c>
      <c r="F559" s="34" t="str">
        <f t="shared" si="41"/>
        <v/>
      </c>
      <c r="G559" s="14"/>
      <c r="H559" s="57"/>
      <c r="I559" s="111"/>
      <c r="J559" s="111"/>
      <c r="K559" s="112" t="str">
        <f t="shared" si="42"/>
        <v/>
      </c>
      <c r="L559" s="112" t="str">
        <f t="shared" si="43"/>
        <v/>
      </c>
    </row>
    <row r="560" spans="1:12" outlineLevel="1">
      <c r="A560" s="54"/>
      <c r="B560" s="22" t="s">
        <v>252</v>
      </c>
      <c r="C560" s="46" t="s">
        <v>26</v>
      </c>
      <c r="D560" s="27"/>
      <c r="E560" s="113" t="str">
        <f t="shared" si="40"/>
        <v/>
      </c>
      <c r="F560" s="34" t="str">
        <f t="shared" si="41"/>
        <v/>
      </c>
      <c r="G560" s="14"/>
      <c r="H560" s="57"/>
      <c r="I560" s="111"/>
      <c r="J560" s="111"/>
      <c r="K560" s="112" t="str">
        <f t="shared" si="42"/>
        <v/>
      </c>
      <c r="L560" s="112" t="str">
        <f t="shared" si="43"/>
        <v/>
      </c>
    </row>
    <row r="561" spans="1:12" outlineLevel="1">
      <c r="A561" s="54"/>
      <c r="B561" s="22" t="s">
        <v>253</v>
      </c>
      <c r="C561" s="46" t="s">
        <v>26</v>
      </c>
      <c r="D561" s="27"/>
      <c r="E561" s="113" t="str">
        <f t="shared" si="40"/>
        <v/>
      </c>
      <c r="F561" s="34" t="str">
        <f t="shared" si="41"/>
        <v/>
      </c>
      <c r="G561" s="14"/>
      <c r="H561" s="57"/>
      <c r="I561" s="111"/>
      <c r="J561" s="111"/>
      <c r="K561" s="112" t="str">
        <f t="shared" si="42"/>
        <v/>
      </c>
      <c r="L561" s="112" t="str">
        <f t="shared" si="43"/>
        <v/>
      </c>
    </row>
    <row r="562" spans="1:12" outlineLevel="1">
      <c r="A562" s="54"/>
      <c r="B562" s="22" t="s">
        <v>269</v>
      </c>
      <c r="C562" s="46" t="s">
        <v>3</v>
      </c>
      <c r="D562" s="27"/>
      <c r="E562" s="113" t="str">
        <f t="shared" si="40"/>
        <v/>
      </c>
      <c r="F562" s="34" t="str">
        <f t="shared" si="41"/>
        <v/>
      </c>
      <c r="G562" s="14"/>
      <c r="H562" s="57"/>
      <c r="I562" s="111"/>
      <c r="J562" s="111"/>
      <c r="K562" s="112" t="str">
        <f t="shared" si="42"/>
        <v/>
      </c>
      <c r="L562" s="112" t="str">
        <f t="shared" si="43"/>
        <v/>
      </c>
    </row>
    <row r="563" spans="1:12" outlineLevel="1">
      <c r="A563" s="54"/>
      <c r="B563" s="22" t="s">
        <v>203</v>
      </c>
      <c r="C563" s="46" t="s">
        <v>3</v>
      </c>
      <c r="D563" s="27"/>
      <c r="E563" s="113" t="str">
        <f t="shared" si="40"/>
        <v/>
      </c>
      <c r="F563" s="34" t="str">
        <f t="shared" si="41"/>
        <v/>
      </c>
      <c r="G563" s="14"/>
      <c r="H563" s="57"/>
      <c r="I563" s="111"/>
      <c r="J563" s="111"/>
      <c r="K563" s="112" t="str">
        <f t="shared" si="42"/>
        <v/>
      </c>
      <c r="L563" s="112" t="str">
        <f t="shared" si="43"/>
        <v/>
      </c>
    </row>
    <row r="564" spans="1:12" outlineLevel="1">
      <c r="A564" s="54"/>
      <c r="B564" s="22" t="s">
        <v>441</v>
      </c>
      <c r="C564" s="46" t="s">
        <v>3</v>
      </c>
      <c r="D564" s="27"/>
      <c r="E564" s="113" t="str">
        <f t="shared" si="40"/>
        <v/>
      </c>
      <c r="F564" s="34" t="str">
        <f t="shared" si="41"/>
        <v/>
      </c>
      <c r="G564" s="14"/>
      <c r="H564" s="57"/>
      <c r="I564" s="111"/>
      <c r="J564" s="111"/>
      <c r="K564" s="112" t="str">
        <f t="shared" si="42"/>
        <v/>
      </c>
      <c r="L564" s="112" t="str">
        <f t="shared" si="43"/>
        <v/>
      </c>
    </row>
    <row r="565" spans="1:12" outlineLevel="1">
      <c r="A565" s="54"/>
      <c r="B565" s="8" t="s">
        <v>374</v>
      </c>
      <c r="C565" s="26" t="s">
        <v>3</v>
      </c>
      <c r="D565" s="27"/>
      <c r="E565" s="113" t="str">
        <f t="shared" si="40"/>
        <v/>
      </c>
      <c r="F565" s="34" t="str">
        <f t="shared" si="41"/>
        <v/>
      </c>
      <c r="G565" s="14"/>
      <c r="H565" s="57"/>
      <c r="I565" s="111"/>
      <c r="J565" s="111"/>
      <c r="K565" s="112" t="str">
        <f t="shared" si="42"/>
        <v/>
      </c>
      <c r="L565" s="112" t="str">
        <f t="shared" si="43"/>
        <v/>
      </c>
    </row>
    <row r="566" spans="1:12" outlineLevel="1">
      <c r="A566" s="54"/>
      <c r="B566" s="22" t="s">
        <v>44</v>
      </c>
      <c r="C566" s="46"/>
      <c r="D566" s="27"/>
      <c r="E566" s="113" t="str">
        <f t="shared" si="40"/>
        <v/>
      </c>
      <c r="F566" s="34" t="str">
        <f t="shared" si="41"/>
        <v/>
      </c>
      <c r="G566" s="14"/>
      <c r="H566" s="57"/>
      <c r="I566" s="111"/>
      <c r="J566" s="111"/>
      <c r="K566" s="112" t="str">
        <f t="shared" si="42"/>
        <v/>
      </c>
      <c r="L566" s="112" t="str">
        <f t="shared" si="43"/>
        <v/>
      </c>
    </row>
    <row r="567" spans="1:12" outlineLevel="1">
      <c r="A567" s="54"/>
      <c r="B567" s="32"/>
      <c r="C567" s="46"/>
      <c r="D567" s="27"/>
      <c r="E567" s="113" t="str">
        <f t="shared" si="40"/>
        <v/>
      </c>
      <c r="F567" s="34" t="str">
        <f t="shared" si="41"/>
        <v/>
      </c>
      <c r="G567" s="14"/>
      <c r="H567" s="57"/>
      <c r="I567" s="111"/>
      <c r="J567" s="111"/>
      <c r="K567" s="112" t="str">
        <f t="shared" si="42"/>
        <v/>
      </c>
      <c r="L567" s="112" t="str">
        <f t="shared" si="43"/>
        <v/>
      </c>
    </row>
    <row r="568" spans="1:12">
      <c r="A568" s="54" t="s">
        <v>235</v>
      </c>
      <c r="B568" s="76" t="s">
        <v>361</v>
      </c>
      <c r="C568" s="26"/>
      <c r="D568" s="27"/>
      <c r="E568" s="113" t="str">
        <f t="shared" si="40"/>
        <v/>
      </c>
      <c r="F568" s="34" t="str">
        <f t="shared" si="41"/>
        <v/>
      </c>
      <c r="G568" s="14"/>
      <c r="H568" s="57"/>
      <c r="I568" s="111"/>
      <c r="J568" s="111"/>
      <c r="K568" s="112" t="str">
        <f t="shared" si="42"/>
        <v/>
      </c>
      <c r="L568" s="112" t="str">
        <f t="shared" si="43"/>
        <v/>
      </c>
    </row>
    <row r="569" spans="1:12" ht="15.75" customHeight="1" outlineLevel="1">
      <c r="A569" s="54"/>
      <c r="B569" s="76"/>
      <c r="C569" s="26"/>
      <c r="D569" s="27"/>
      <c r="E569" s="113" t="str">
        <f t="shared" si="40"/>
        <v/>
      </c>
      <c r="F569" s="34" t="str">
        <f t="shared" si="41"/>
        <v/>
      </c>
      <c r="G569" s="14"/>
      <c r="H569" s="57"/>
      <c r="I569" s="111"/>
      <c r="J569" s="111"/>
      <c r="K569" s="112" t="str">
        <f t="shared" si="42"/>
        <v/>
      </c>
      <c r="L569" s="112" t="str">
        <f t="shared" si="43"/>
        <v/>
      </c>
    </row>
    <row r="570" spans="1:12" outlineLevel="1">
      <c r="A570" s="54"/>
      <c r="B570" s="8" t="s">
        <v>22</v>
      </c>
      <c r="C570" s="26" t="s">
        <v>3</v>
      </c>
      <c r="D570" s="27"/>
      <c r="E570" s="113" t="str">
        <f t="shared" si="40"/>
        <v/>
      </c>
      <c r="F570" s="34" t="str">
        <f t="shared" si="41"/>
        <v/>
      </c>
      <c r="G570" s="14"/>
      <c r="H570" s="57"/>
      <c r="I570" s="111"/>
      <c r="J570" s="111"/>
      <c r="K570" s="112" t="str">
        <f t="shared" si="42"/>
        <v/>
      </c>
      <c r="L570" s="112" t="str">
        <f t="shared" si="43"/>
        <v/>
      </c>
    </row>
    <row r="571" spans="1:12" outlineLevel="1">
      <c r="A571" s="54"/>
      <c r="B571" s="8" t="s">
        <v>23</v>
      </c>
      <c r="C571" s="26" t="s">
        <v>26</v>
      </c>
      <c r="D571" s="27"/>
      <c r="E571" s="113" t="str">
        <f t="shared" si="40"/>
        <v/>
      </c>
      <c r="F571" s="34" t="str">
        <f t="shared" si="41"/>
        <v/>
      </c>
      <c r="G571" s="14"/>
      <c r="H571" s="57"/>
      <c r="I571" s="111"/>
      <c r="J571" s="111"/>
      <c r="K571" s="112" t="str">
        <f t="shared" si="42"/>
        <v/>
      </c>
      <c r="L571" s="112" t="str">
        <f t="shared" si="43"/>
        <v/>
      </c>
    </row>
    <row r="572" spans="1:12" outlineLevel="1">
      <c r="A572" s="54"/>
      <c r="B572" s="8" t="s">
        <v>175</v>
      </c>
      <c r="C572" s="26" t="s">
        <v>26</v>
      </c>
      <c r="D572" s="27"/>
      <c r="E572" s="113" t="str">
        <f t="shared" si="40"/>
        <v/>
      </c>
      <c r="F572" s="34" t="str">
        <f t="shared" si="41"/>
        <v/>
      </c>
      <c r="G572" s="14"/>
      <c r="H572" s="57"/>
      <c r="I572" s="111"/>
      <c r="J572" s="111"/>
      <c r="K572" s="112" t="str">
        <f t="shared" si="42"/>
        <v/>
      </c>
      <c r="L572" s="112" t="str">
        <f t="shared" si="43"/>
        <v/>
      </c>
    </row>
    <row r="573" spans="1:12" outlineLevel="1">
      <c r="A573" s="54"/>
      <c r="B573" s="8" t="s">
        <v>285</v>
      </c>
      <c r="C573" s="26" t="s">
        <v>26</v>
      </c>
      <c r="D573" s="27"/>
      <c r="E573" s="113" t="str">
        <f t="shared" si="40"/>
        <v/>
      </c>
      <c r="F573" s="34" t="str">
        <f t="shared" si="41"/>
        <v/>
      </c>
      <c r="G573" s="14"/>
      <c r="H573" s="57"/>
      <c r="I573" s="111"/>
      <c r="J573" s="111"/>
      <c r="K573" s="112" t="str">
        <f t="shared" si="42"/>
        <v/>
      </c>
      <c r="L573" s="112" t="str">
        <f t="shared" si="43"/>
        <v/>
      </c>
    </row>
    <row r="574" spans="1:12" outlineLevel="1">
      <c r="A574" s="54"/>
      <c r="B574" s="8"/>
      <c r="C574" s="26"/>
      <c r="D574" s="27"/>
      <c r="E574" s="113" t="str">
        <f t="shared" si="40"/>
        <v/>
      </c>
      <c r="F574" s="34" t="str">
        <f t="shared" si="41"/>
        <v/>
      </c>
      <c r="G574" s="14"/>
      <c r="H574" s="57"/>
      <c r="I574" s="111"/>
      <c r="J574" s="111"/>
      <c r="K574" s="112" t="str">
        <f t="shared" si="42"/>
        <v/>
      </c>
      <c r="L574" s="112" t="str">
        <f t="shared" si="43"/>
        <v/>
      </c>
    </row>
    <row r="575" spans="1:12" outlineLevel="1">
      <c r="A575" s="54"/>
      <c r="B575" s="8" t="s">
        <v>286</v>
      </c>
      <c r="C575" s="26" t="s">
        <v>5</v>
      </c>
      <c r="D575" s="27"/>
      <c r="E575" s="113" t="str">
        <f t="shared" si="40"/>
        <v/>
      </c>
      <c r="F575" s="34" t="str">
        <f t="shared" si="41"/>
        <v/>
      </c>
      <c r="G575" s="14"/>
      <c r="H575" s="57"/>
      <c r="I575" s="111"/>
      <c r="J575" s="111"/>
      <c r="K575" s="112" t="str">
        <f t="shared" si="42"/>
        <v/>
      </c>
      <c r="L575" s="112" t="str">
        <f t="shared" si="43"/>
        <v/>
      </c>
    </row>
    <row r="576" spans="1:12" outlineLevel="1">
      <c r="A576" s="54"/>
      <c r="B576" s="8" t="s">
        <v>393</v>
      </c>
      <c r="C576" s="26" t="s">
        <v>5</v>
      </c>
      <c r="D576" s="27"/>
      <c r="E576" s="113" t="str">
        <f t="shared" si="40"/>
        <v/>
      </c>
      <c r="F576" s="34" t="str">
        <f t="shared" si="41"/>
        <v/>
      </c>
      <c r="G576" s="14"/>
      <c r="H576" s="57"/>
      <c r="I576" s="111"/>
      <c r="J576" s="111"/>
      <c r="K576" s="112" t="str">
        <f t="shared" si="42"/>
        <v/>
      </c>
      <c r="L576" s="112" t="str">
        <f t="shared" si="43"/>
        <v/>
      </c>
    </row>
    <row r="577" spans="1:12" outlineLevel="1">
      <c r="A577" s="54"/>
      <c r="B577" s="8" t="s">
        <v>386</v>
      </c>
      <c r="C577" s="26" t="s">
        <v>5</v>
      </c>
      <c r="D577" s="27"/>
      <c r="E577" s="113" t="str">
        <f t="shared" si="40"/>
        <v/>
      </c>
      <c r="F577" s="34" t="str">
        <f t="shared" si="41"/>
        <v/>
      </c>
      <c r="G577" s="14"/>
      <c r="H577" s="57"/>
      <c r="I577" s="111"/>
      <c r="J577" s="111"/>
      <c r="K577" s="112" t="str">
        <f t="shared" si="42"/>
        <v/>
      </c>
      <c r="L577" s="112" t="str">
        <f t="shared" si="43"/>
        <v/>
      </c>
    </row>
    <row r="578" spans="1:12" outlineLevel="1">
      <c r="A578" s="54"/>
      <c r="B578" s="8" t="s">
        <v>387</v>
      </c>
      <c r="C578" s="26" t="s">
        <v>5</v>
      </c>
      <c r="D578" s="27"/>
      <c r="E578" s="113" t="str">
        <f t="shared" si="40"/>
        <v/>
      </c>
      <c r="F578" s="34" t="str">
        <f t="shared" si="41"/>
        <v/>
      </c>
      <c r="G578" s="14"/>
      <c r="H578" s="57"/>
      <c r="I578" s="111"/>
      <c r="J578" s="111"/>
      <c r="K578" s="112" t="str">
        <f t="shared" si="42"/>
        <v/>
      </c>
      <c r="L578" s="112" t="str">
        <f t="shared" si="43"/>
        <v/>
      </c>
    </row>
    <row r="579" spans="1:12" ht="15.75" customHeight="1" outlineLevel="1">
      <c r="A579" s="54"/>
      <c r="B579" s="78"/>
      <c r="C579" s="26"/>
      <c r="D579" s="27"/>
      <c r="E579" s="113" t="str">
        <f t="shared" si="40"/>
        <v/>
      </c>
      <c r="F579" s="34" t="str">
        <f t="shared" si="41"/>
        <v/>
      </c>
      <c r="G579" s="14"/>
      <c r="H579" s="57"/>
      <c r="I579" s="111"/>
      <c r="J579" s="111"/>
      <c r="K579" s="112" t="str">
        <f t="shared" si="42"/>
        <v/>
      </c>
      <c r="L579" s="112" t="str">
        <f t="shared" si="43"/>
        <v/>
      </c>
    </row>
    <row r="580" spans="1:12">
      <c r="A580" s="54" t="s">
        <v>236</v>
      </c>
      <c r="B580" s="76" t="s">
        <v>287</v>
      </c>
      <c r="C580" s="26"/>
      <c r="D580" s="27"/>
      <c r="E580" s="113" t="str">
        <f t="shared" si="40"/>
        <v/>
      </c>
      <c r="F580" s="34" t="str">
        <f t="shared" si="41"/>
        <v/>
      </c>
      <c r="G580" s="14"/>
      <c r="H580" s="57"/>
      <c r="I580" s="111"/>
      <c r="J580" s="111"/>
      <c r="K580" s="112" t="str">
        <f t="shared" si="42"/>
        <v/>
      </c>
      <c r="L580" s="112" t="str">
        <f t="shared" si="43"/>
        <v/>
      </c>
    </row>
    <row r="581" spans="1:12" ht="15.75" customHeight="1" outlineLevel="1">
      <c r="A581" s="54"/>
      <c r="B581" s="76"/>
      <c r="C581" s="26"/>
      <c r="D581" s="27"/>
      <c r="E581" s="113" t="str">
        <f t="shared" si="40"/>
        <v/>
      </c>
      <c r="F581" s="34" t="str">
        <f t="shared" si="41"/>
        <v/>
      </c>
      <c r="G581" s="14"/>
      <c r="H581" s="57"/>
      <c r="I581" s="111"/>
      <c r="J581" s="111"/>
      <c r="K581" s="112" t="str">
        <f t="shared" si="42"/>
        <v/>
      </c>
      <c r="L581" s="112" t="str">
        <f t="shared" si="43"/>
        <v/>
      </c>
    </row>
    <row r="582" spans="1:12" outlineLevel="1">
      <c r="A582" s="54"/>
      <c r="B582" s="8" t="s">
        <v>22</v>
      </c>
      <c r="C582" s="26" t="s">
        <v>3</v>
      </c>
      <c r="D582" s="27"/>
      <c r="E582" s="113" t="str">
        <f t="shared" si="40"/>
        <v/>
      </c>
      <c r="F582" s="34" t="str">
        <f t="shared" si="41"/>
        <v/>
      </c>
      <c r="G582" s="14"/>
      <c r="H582" s="57"/>
      <c r="I582" s="111"/>
      <c r="J582" s="111"/>
      <c r="K582" s="112" t="str">
        <f t="shared" si="42"/>
        <v/>
      </c>
      <c r="L582" s="112" t="str">
        <f t="shared" si="43"/>
        <v/>
      </c>
    </row>
    <row r="583" spans="1:12" outlineLevel="1">
      <c r="A583" s="54"/>
      <c r="B583" s="8" t="s">
        <v>23</v>
      </c>
      <c r="C583" s="26" t="s">
        <v>26</v>
      </c>
      <c r="D583" s="27"/>
      <c r="E583" s="113" t="str">
        <f t="shared" si="40"/>
        <v/>
      </c>
      <c r="F583" s="34" t="str">
        <f t="shared" si="41"/>
        <v/>
      </c>
      <c r="G583" s="14"/>
      <c r="H583" s="57"/>
      <c r="I583" s="111"/>
      <c r="J583" s="111"/>
      <c r="K583" s="112" t="str">
        <f t="shared" si="42"/>
        <v/>
      </c>
      <c r="L583" s="112" t="str">
        <f t="shared" si="43"/>
        <v/>
      </c>
    </row>
    <row r="584" spans="1:12" outlineLevel="1">
      <c r="A584" s="54"/>
      <c r="B584" s="8" t="s">
        <v>175</v>
      </c>
      <c r="C584" s="26" t="s">
        <v>26</v>
      </c>
      <c r="D584" s="27"/>
      <c r="E584" s="113" t="str">
        <f t="shared" si="40"/>
        <v/>
      </c>
      <c r="F584" s="34" t="str">
        <f t="shared" si="41"/>
        <v/>
      </c>
      <c r="G584" s="14"/>
      <c r="H584" s="57"/>
      <c r="I584" s="111"/>
      <c r="J584" s="111"/>
      <c r="K584" s="112" t="str">
        <f t="shared" si="42"/>
        <v/>
      </c>
      <c r="L584" s="112" t="str">
        <f t="shared" si="43"/>
        <v/>
      </c>
    </row>
    <row r="585" spans="1:12" outlineLevel="1">
      <c r="A585" s="54"/>
      <c r="B585" s="8" t="s">
        <v>285</v>
      </c>
      <c r="C585" s="26" t="s">
        <v>26</v>
      </c>
      <c r="D585" s="27"/>
      <c r="E585" s="113" t="str">
        <f t="shared" si="40"/>
        <v/>
      </c>
      <c r="F585" s="34" t="str">
        <f t="shared" si="41"/>
        <v/>
      </c>
      <c r="G585" s="14"/>
      <c r="H585" s="57"/>
      <c r="I585" s="111"/>
      <c r="J585" s="111"/>
      <c r="K585" s="112" t="str">
        <f t="shared" si="42"/>
        <v/>
      </c>
      <c r="L585" s="112" t="str">
        <f t="shared" si="43"/>
        <v/>
      </c>
    </row>
    <row r="586" spans="1:12" outlineLevel="1">
      <c r="A586" s="54"/>
      <c r="B586" s="8"/>
      <c r="C586" s="26"/>
      <c r="D586" s="27"/>
      <c r="E586" s="113" t="str">
        <f t="shared" si="40"/>
        <v/>
      </c>
      <c r="F586" s="34" t="str">
        <f t="shared" si="41"/>
        <v/>
      </c>
      <c r="G586" s="14"/>
      <c r="H586" s="57"/>
      <c r="I586" s="111"/>
      <c r="J586" s="111"/>
      <c r="K586" s="112" t="str">
        <f t="shared" si="42"/>
        <v/>
      </c>
      <c r="L586" s="112" t="str">
        <f t="shared" si="43"/>
        <v/>
      </c>
    </row>
    <row r="587" spans="1:12" outlineLevel="1">
      <c r="A587" s="54"/>
      <c r="B587" s="8" t="s">
        <v>286</v>
      </c>
      <c r="C587" s="26" t="s">
        <v>5</v>
      </c>
      <c r="D587" s="27"/>
      <c r="E587" s="113" t="str">
        <f t="shared" si="40"/>
        <v/>
      </c>
      <c r="F587" s="34" t="str">
        <f t="shared" si="41"/>
        <v/>
      </c>
      <c r="G587" s="14"/>
      <c r="H587" s="57"/>
      <c r="I587" s="111"/>
      <c r="J587" s="111"/>
      <c r="K587" s="112" t="str">
        <f t="shared" si="42"/>
        <v/>
      </c>
      <c r="L587" s="112" t="str">
        <f t="shared" si="43"/>
        <v/>
      </c>
    </row>
    <row r="588" spans="1:12" outlineLevel="1">
      <c r="A588" s="54"/>
      <c r="B588" s="8" t="s">
        <v>393</v>
      </c>
      <c r="C588" s="26" t="s">
        <v>5</v>
      </c>
      <c r="D588" s="27"/>
      <c r="E588" s="113" t="str">
        <f t="shared" si="40"/>
        <v/>
      </c>
      <c r="F588" s="34" t="str">
        <f t="shared" si="41"/>
        <v/>
      </c>
      <c r="G588" s="14"/>
      <c r="H588" s="57"/>
      <c r="I588" s="111"/>
      <c r="J588" s="111"/>
      <c r="K588" s="112" t="str">
        <f t="shared" si="42"/>
        <v/>
      </c>
      <c r="L588" s="112" t="str">
        <f t="shared" si="43"/>
        <v/>
      </c>
    </row>
    <row r="589" spans="1:12" outlineLevel="1">
      <c r="A589" s="54"/>
      <c r="B589" s="8" t="s">
        <v>386</v>
      </c>
      <c r="C589" s="26" t="s">
        <v>5</v>
      </c>
      <c r="D589" s="27"/>
      <c r="E589" s="113" t="str">
        <f t="shared" si="40"/>
        <v/>
      </c>
      <c r="F589" s="34" t="str">
        <f t="shared" si="41"/>
        <v/>
      </c>
      <c r="G589" s="14"/>
      <c r="H589" s="57"/>
      <c r="I589" s="111"/>
      <c r="J589" s="111"/>
      <c r="K589" s="112" t="str">
        <f t="shared" si="42"/>
        <v/>
      </c>
      <c r="L589" s="112" t="str">
        <f t="shared" si="43"/>
        <v/>
      </c>
    </row>
    <row r="590" spans="1:12" outlineLevel="1">
      <c r="A590" s="54"/>
      <c r="B590" s="8" t="s">
        <v>387</v>
      </c>
      <c r="C590" s="26" t="s">
        <v>5</v>
      </c>
      <c r="D590" s="27"/>
      <c r="E590" s="113" t="str">
        <f t="shared" si="40"/>
        <v/>
      </c>
      <c r="F590" s="34" t="str">
        <f t="shared" si="41"/>
        <v/>
      </c>
      <c r="G590" s="14"/>
      <c r="H590" s="57"/>
      <c r="I590" s="111"/>
      <c r="J590" s="111"/>
      <c r="K590" s="112" t="str">
        <f t="shared" si="42"/>
        <v/>
      </c>
      <c r="L590" s="112" t="str">
        <f t="shared" si="43"/>
        <v/>
      </c>
    </row>
    <row r="591" spans="1:12" ht="15.75" customHeight="1" outlineLevel="1">
      <c r="A591" s="54"/>
      <c r="B591" s="78"/>
      <c r="C591" s="26"/>
      <c r="D591" s="27"/>
      <c r="E591" s="113" t="str">
        <f t="shared" si="40"/>
        <v/>
      </c>
      <c r="F591" s="34" t="str">
        <f t="shared" si="41"/>
        <v/>
      </c>
      <c r="G591" s="14"/>
      <c r="H591" s="57"/>
      <c r="I591" s="111"/>
      <c r="J591" s="111"/>
      <c r="K591" s="112" t="str">
        <f t="shared" si="42"/>
        <v/>
      </c>
      <c r="L591" s="112" t="str">
        <f t="shared" si="43"/>
        <v/>
      </c>
    </row>
    <row r="592" spans="1:12">
      <c r="A592" s="54" t="s">
        <v>237</v>
      </c>
      <c r="B592" s="21" t="s">
        <v>19</v>
      </c>
      <c r="C592" s="26"/>
      <c r="D592" s="27"/>
      <c r="E592" s="113" t="str">
        <f t="shared" si="40"/>
        <v/>
      </c>
      <c r="F592" s="34" t="str">
        <f t="shared" si="41"/>
        <v/>
      </c>
      <c r="G592" s="14"/>
      <c r="H592" s="57"/>
      <c r="I592" s="111"/>
      <c r="J592" s="111"/>
      <c r="K592" s="112" t="str">
        <f t="shared" si="42"/>
        <v/>
      </c>
      <c r="L592" s="112" t="str">
        <f t="shared" si="43"/>
        <v/>
      </c>
    </row>
    <row r="593" spans="1:12" ht="15.75" customHeight="1" outlineLevel="1">
      <c r="A593" s="54"/>
      <c r="B593" s="22"/>
      <c r="C593" s="26"/>
      <c r="D593" s="27"/>
      <c r="E593" s="113" t="str">
        <f t="shared" si="40"/>
        <v/>
      </c>
      <c r="F593" s="34" t="str">
        <f t="shared" si="41"/>
        <v/>
      </c>
      <c r="G593" s="14"/>
      <c r="H593" s="57"/>
      <c r="I593" s="111"/>
      <c r="J593" s="111"/>
      <c r="K593" s="112" t="str">
        <f t="shared" si="42"/>
        <v/>
      </c>
      <c r="L593" s="112" t="str">
        <f t="shared" si="43"/>
        <v/>
      </c>
    </row>
    <row r="594" spans="1:12" outlineLevel="1">
      <c r="A594" s="54"/>
      <c r="B594" s="8" t="s">
        <v>22</v>
      </c>
      <c r="C594" s="26" t="s">
        <v>3</v>
      </c>
      <c r="D594" s="27"/>
      <c r="E594" s="113" t="str">
        <f t="shared" si="40"/>
        <v/>
      </c>
      <c r="F594" s="34" t="str">
        <f t="shared" si="41"/>
        <v/>
      </c>
      <c r="G594" s="14"/>
      <c r="H594" s="57"/>
      <c r="I594" s="111"/>
      <c r="J594" s="111"/>
      <c r="K594" s="112" t="str">
        <f t="shared" si="42"/>
        <v/>
      </c>
      <c r="L594" s="112" t="str">
        <f t="shared" si="43"/>
        <v/>
      </c>
    </row>
    <row r="595" spans="1:12" outlineLevel="1">
      <c r="A595" s="54"/>
      <c r="B595" s="8" t="s">
        <v>23</v>
      </c>
      <c r="C595" s="26" t="s">
        <v>26</v>
      </c>
      <c r="D595" s="27"/>
      <c r="E595" s="113" t="str">
        <f t="shared" si="40"/>
        <v/>
      </c>
      <c r="F595" s="34" t="str">
        <f t="shared" si="41"/>
        <v/>
      </c>
      <c r="G595" s="14"/>
      <c r="H595" s="57"/>
      <c r="I595" s="111"/>
      <c r="J595" s="111"/>
      <c r="K595" s="112" t="str">
        <f t="shared" si="42"/>
        <v/>
      </c>
      <c r="L595" s="112" t="str">
        <f t="shared" si="43"/>
        <v/>
      </c>
    </row>
    <row r="596" spans="1:12" outlineLevel="1">
      <c r="A596" s="54"/>
      <c r="B596" s="8" t="s">
        <v>176</v>
      </c>
      <c r="C596" s="26" t="s">
        <v>26</v>
      </c>
      <c r="D596" s="27"/>
      <c r="E596" s="113" t="str">
        <f t="shared" si="40"/>
        <v/>
      </c>
      <c r="F596" s="34" t="str">
        <f t="shared" si="41"/>
        <v/>
      </c>
      <c r="G596" s="14"/>
      <c r="H596" s="57"/>
      <c r="I596" s="111"/>
      <c r="J596" s="111"/>
      <c r="K596" s="112" t="str">
        <f t="shared" si="42"/>
        <v/>
      </c>
      <c r="L596" s="112" t="str">
        <f t="shared" si="43"/>
        <v/>
      </c>
    </row>
    <row r="597" spans="1:12" outlineLevel="1">
      <c r="A597" s="54"/>
      <c r="B597" s="8" t="s">
        <v>24</v>
      </c>
      <c r="C597" s="26" t="s">
        <v>26</v>
      </c>
      <c r="D597" s="27"/>
      <c r="E597" s="113" t="str">
        <f t="shared" si="40"/>
        <v/>
      </c>
      <c r="F597" s="34" t="str">
        <f t="shared" si="41"/>
        <v/>
      </c>
      <c r="G597" s="14"/>
      <c r="H597" s="57"/>
      <c r="I597" s="111"/>
      <c r="J597" s="111"/>
      <c r="K597" s="112" t="str">
        <f t="shared" si="42"/>
        <v/>
      </c>
      <c r="L597" s="112" t="str">
        <f t="shared" si="43"/>
        <v/>
      </c>
    </row>
    <row r="598" spans="1:12" ht="15.75" customHeight="1" outlineLevel="1">
      <c r="A598" s="54"/>
      <c r="B598" s="8"/>
      <c r="C598" s="26"/>
      <c r="D598" s="27"/>
      <c r="E598" s="113" t="str">
        <f t="shared" si="40"/>
        <v/>
      </c>
      <c r="F598" s="34" t="str">
        <f t="shared" si="41"/>
        <v/>
      </c>
      <c r="G598" s="14"/>
      <c r="H598" s="57"/>
      <c r="I598" s="111"/>
      <c r="J598" s="111"/>
      <c r="K598" s="112" t="str">
        <f t="shared" si="42"/>
        <v/>
      </c>
      <c r="L598" s="112" t="str">
        <f t="shared" si="43"/>
        <v/>
      </c>
    </row>
    <row r="599" spans="1:12" outlineLevel="1">
      <c r="A599" s="54"/>
      <c r="B599" s="8" t="s">
        <v>393</v>
      </c>
      <c r="C599" s="26" t="s">
        <v>5</v>
      </c>
      <c r="D599" s="27"/>
      <c r="E599" s="113" t="str">
        <f t="shared" si="40"/>
        <v/>
      </c>
      <c r="F599" s="34" t="str">
        <f t="shared" si="41"/>
        <v/>
      </c>
      <c r="G599" s="14"/>
      <c r="H599" s="57"/>
      <c r="I599" s="111"/>
      <c r="J599" s="111"/>
      <c r="K599" s="112" t="str">
        <f t="shared" si="42"/>
        <v/>
      </c>
      <c r="L599" s="112" t="str">
        <f t="shared" si="43"/>
        <v/>
      </c>
    </row>
    <row r="600" spans="1:12" outlineLevel="1">
      <c r="A600" s="54"/>
      <c r="B600" s="8" t="s">
        <v>386</v>
      </c>
      <c r="C600" s="26" t="s">
        <v>5</v>
      </c>
      <c r="D600" s="27"/>
      <c r="E600" s="113" t="str">
        <f t="shared" si="40"/>
        <v/>
      </c>
      <c r="F600" s="34" t="str">
        <f t="shared" si="41"/>
        <v/>
      </c>
      <c r="G600" s="14"/>
      <c r="H600" s="57"/>
      <c r="I600" s="111"/>
      <c r="J600" s="111"/>
      <c r="K600" s="112" t="str">
        <f t="shared" si="42"/>
        <v/>
      </c>
      <c r="L600" s="112" t="str">
        <f t="shared" si="43"/>
        <v/>
      </c>
    </row>
    <row r="601" spans="1:12" outlineLevel="1">
      <c r="A601" s="54"/>
      <c r="B601" s="8" t="s">
        <v>387</v>
      </c>
      <c r="C601" s="26" t="s">
        <v>5</v>
      </c>
      <c r="D601" s="27"/>
      <c r="E601" s="113" t="str">
        <f t="shared" si="40"/>
        <v/>
      </c>
      <c r="F601" s="34" t="str">
        <f t="shared" si="41"/>
        <v/>
      </c>
      <c r="G601" s="14"/>
      <c r="H601" s="57"/>
      <c r="I601" s="111"/>
      <c r="J601" s="111"/>
      <c r="K601" s="112" t="str">
        <f t="shared" si="42"/>
        <v/>
      </c>
      <c r="L601" s="112" t="str">
        <f t="shared" si="43"/>
        <v/>
      </c>
    </row>
    <row r="602" spans="1:12" outlineLevel="1">
      <c r="A602" s="54"/>
      <c r="B602" s="22"/>
      <c r="C602" s="46"/>
      <c r="D602" s="27"/>
      <c r="E602" s="113" t="str">
        <f t="shared" si="40"/>
        <v/>
      </c>
      <c r="F602" s="34" t="str">
        <f t="shared" si="41"/>
        <v/>
      </c>
      <c r="G602" s="14"/>
      <c r="H602" s="57"/>
      <c r="I602" s="111"/>
      <c r="J602" s="111"/>
      <c r="K602" s="112" t="str">
        <f t="shared" si="42"/>
        <v/>
      </c>
      <c r="L602" s="112" t="str">
        <f t="shared" si="43"/>
        <v/>
      </c>
    </row>
    <row r="603" spans="1:12" ht="31" outlineLevel="1">
      <c r="A603" s="54"/>
      <c r="B603" s="8" t="s">
        <v>442</v>
      </c>
      <c r="C603" s="26" t="s">
        <v>26</v>
      </c>
      <c r="D603" s="27"/>
      <c r="E603" s="113" t="str">
        <f t="shared" si="40"/>
        <v/>
      </c>
      <c r="F603" s="34" t="str">
        <f t="shared" si="41"/>
        <v/>
      </c>
      <c r="G603" s="14"/>
      <c r="H603" s="57"/>
      <c r="I603" s="111"/>
      <c r="J603" s="111"/>
      <c r="K603" s="112" t="str">
        <f t="shared" si="42"/>
        <v/>
      </c>
      <c r="L603" s="112" t="str">
        <f t="shared" si="43"/>
        <v/>
      </c>
    </row>
    <row r="604" spans="1:12" outlineLevel="1">
      <c r="A604" s="54"/>
      <c r="B604" s="8"/>
      <c r="C604" s="26"/>
      <c r="D604" s="27"/>
      <c r="E604" s="113" t="str">
        <f t="shared" si="40"/>
        <v/>
      </c>
      <c r="F604" s="34" t="str">
        <f t="shared" si="41"/>
        <v/>
      </c>
      <c r="G604" s="14"/>
      <c r="H604" s="57"/>
      <c r="I604" s="111"/>
      <c r="J604" s="111"/>
      <c r="K604" s="112" t="str">
        <f t="shared" si="42"/>
        <v/>
      </c>
      <c r="L604" s="112" t="str">
        <f t="shared" si="43"/>
        <v/>
      </c>
    </row>
    <row r="605" spans="1:12">
      <c r="A605" s="54" t="s">
        <v>238</v>
      </c>
      <c r="B605" s="21" t="s">
        <v>118</v>
      </c>
      <c r="C605" s="26"/>
      <c r="D605" s="27"/>
      <c r="E605" s="113" t="str">
        <f t="shared" si="40"/>
        <v/>
      </c>
      <c r="F605" s="34" t="str">
        <f t="shared" si="41"/>
        <v/>
      </c>
      <c r="G605" s="14"/>
      <c r="H605" s="57"/>
      <c r="I605" s="111"/>
      <c r="J605" s="111"/>
      <c r="K605" s="112" t="str">
        <f t="shared" si="42"/>
        <v/>
      </c>
      <c r="L605" s="112" t="str">
        <f t="shared" si="43"/>
        <v/>
      </c>
    </row>
    <row r="606" spans="1:12" outlineLevel="1">
      <c r="A606" s="54"/>
      <c r="B606" s="22"/>
      <c r="C606" s="26"/>
      <c r="D606" s="27"/>
      <c r="E606" s="113" t="str">
        <f t="shared" si="40"/>
        <v/>
      </c>
      <c r="F606" s="34" t="str">
        <f t="shared" si="41"/>
        <v/>
      </c>
      <c r="G606" s="14"/>
      <c r="H606" s="57"/>
      <c r="I606" s="111"/>
      <c r="J606" s="111"/>
      <c r="K606" s="112" t="str">
        <f t="shared" si="42"/>
        <v/>
      </c>
      <c r="L606" s="112" t="str">
        <f t="shared" si="43"/>
        <v/>
      </c>
    </row>
    <row r="607" spans="1:12" outlineLevel="1">
      <c r="A607" s="54"/>
      <c r="B607" s="8" t="s">
        <v>119</v>
      </c>
      <c r="C607" s="26" t="s">
        <v>3</v>
      </c>
      <c r="D607" s="27"/>
      <c r="E607" s="113" t="str">
        <f t="shared" si="40"/>
        <v/>
      </c>
      <c r="F607" s="34" t="str">
        <f t="shared" si="41"/>
        <v/>
      </c>
      <c r="G607" s="14"/>
      <c r="H607" s="57"/>
      <c r="I607" s="111"/>
      <c r="J607" s="111"/>
      <c r="K607" s="112" t="str">
        <f t="shared" si="42"/>
        <v/>
      </c>
      <c r="L607" s="112" t="str">
        <f t="shared" si="43"/>
        <v/>
      </c>
    </row>
    <row r="608" spans="1:12" outlineLevel="1">
      <c r="A608" s="54"/>
      <c r="B608" s="8" t="s">
        <v>120</v>
      </c>
      <c r="C608" s="26" t="s">
        <v>3</v>
      </c>
      <c r="D608" s="27"/>
      <c r="E608" s="113" t="str">
        <f t="shared" si="40"/>
        <v/>
      </c>
      <c r="F608" s="34" t="str">
        <f t="shared" si="41"/>
        <v/>
      </c>
      <c r="G608" s="14"/>
      <c r="H608" s="57"/>
      <c r="I608" s="111"/>
      <c r="J608" s="111"/>
      <c r="K608" s="112" t="str">
        <f t="shared" si="42"/>
        <v/>
      </c>
      <c r="L608" s="112" t="str">
        <f t="shared" si="43"/>
        <v/>
      </c>
    </row>
    <row r="609" spans="1:12" outlineLevel="1">
      <c r="A609" s="54"/>
      <c r="B609" s="8" t="s">
        <v>121</v>
      </c>
      <c r="C609" s="26" t="s">
        <v>3</v>
      </c>
      <c r="D609" s="27"/>
      <c r="E609" s="113" t="str">
        <f t="shared" si="40"/>
        <v/>
      </c>
      <c r="F609" s="34" t="str">
        <f t="shared" si="41"/>
        <v/>
      </c>
      <c r="G609" s="14"/>
      <c r="H609" s="57"/>
      <c r="I609" s="111"/>
      <c r="J609" s="111"/>
      <c r="K609" s="112" t="str">
        <f t="shared" si="42"/>
        <v/>
      </c>
      <c r="L609" s="112" t="str">
        <f t="shared" si="43"/>
        <v/>
      </c>
    </row>
    <row r="610" spans="1:12" outlineLevel="1">
      <c r="A610" s="54"/>
      <c r="B610" s="8" t="s">
        <v>122</v>
      </c>
      <c r="C610" s="26" t="s">
        <v>3</v>
      </c>
      <c r="D610" s="27"/>
      <c r="E610" s="113" t="str">
        <f t="shared" si="40"/>
        <v/>
      </c>
      <c r="F610" s="34" t="str">
        <f t="shared" si="41"/>
        <v/>
      </c>
      <c r="G610" s="14"/>
      <c r="H610" s="57"/>
      <c r="I610" s="111"/>
      <c r="J610" s="111"/>
      <c r="K610" s="112" t="str">
        <f t="shared" si="42"/>
        <v/>
      </c>
      <c r="L610" s="112" t="str">
        <f t="shared" si="43"/>
        <v/>
      </c>
    </row>
    <row r="611" spans="1:12" outlineLevel="1">
      <c r="A611" s="54"/>
      <c r="B611" s="8" t="s">
        <v>123</v>
      </c>
      <c r="C611" s="26" t="s">
        <v>3</v>
      </c>
      <c r="D611" s="27"/>
      <c r="E611" s="113" t="str">
        <f t="shared" si="40"/>
        <v/>
      </c>
      <c r="F611" s="34" t="str">
        <f t="shared" si="41"/>
        <v/>
      </c>
      <c r="G611" s="14"/>
      <c r="H611" s="57"/>
      <c r="I611" s="111"/>
      <c r="J611" s="111"/>
      <c r="K611" s="112" t="str">
        <f t="shared" si="42"/>
        <v/>
      </c>
      <c r="L611" s="112" t="str">
        <f t="shared" si="43"/>
        <v/>
      </c>
    </row>
    <row r="612" spans="1:12" outlineLevel="1">
      <c r="A612" s="54"/>
      <c r="B612" s="8" t="s">
        <v>124</v>
      </c>
      <c r="C612" s="26" t="s">
        <v>3</v>
      </c>
      <c r="D612" s="27"/>
      <c r="E612" s="113" t="str">
        <f t="shared" si="40"/>
        <v/>
      </c>
      <c r="F612" s="34" t="str">
        <f t="shared" si="41"/>
        <v/>
      </c>
      <c r="G612" s="14"/>
      <c r="H612" s="57"/>
      <c r="I612" s="111"/>
      <c r="J612" s="111"/>
      <c r="K612" s="112" t="str">
        <f t="shared" si="42"/>
        <v/>
      </c>
      <c r="L612" s="112" t="str">
        <f t="shared" si="43"/>
        <v/>
      </c>
    </row>
    <row r="613" spans="1:12" outlineLevel="1">
      <c r="A613" s="54"/>
      <c r="B613" s="8" t="s">
        <v>125</v>
      </c>
      <c r="C613" s="26" t="s">
        <v>3</v>
      </c>
      <c r="D613" s="27"/>
      <c r="E613" s="113" t="str">
        <f t="shared" si="40"/>
        <v/>
      </c>
      <c r="F613" s="34" t="str">
        <f t="shared" si="41"/>
        <v/>
      </c>
      <c r="G613" s="14"/>
      <c r="H613" s="57"/>
      <c r="I613" s="111"/>
      <c r="J613" s="111"/>
      <c r="K613" s="112" t="str">
        <f t="shared" si="42"/>
        <v/>
      </c>
      <c r="L613" s="112" t="str">
        <f t="shared" si="43"/>
        <v/>
      </c>
    </row>
    <row r="614" spans="1:12" outlineLevel="1">
      <c r="A614" s="54"/>
      <c r="B614" s="8" t="s">
        <v>126</v>
      </c>
      <c r="C614" s="26" t="s">
        <v>3</v>
      </c>
      <c r="D614" s="27"/>
      <c r="E614" s="113" t="str">
        <f t="shared" si="40"/>
        <v/>
      </c>
      <c r="F614" s="34" t="str">
        <f t="shared" si="41"/>
        <v/>
      </c>
      <c r="G614" s="14"/>
      <c r="H614" s="57"/>
      <c r="I614" s="111"/>
      <c r="J614" s="111"/>
      <c r="K614" s="112" t="str">
        <f t="shared" si="42"/>
        <v/>
      </c>
      <c r="L614" s="112" t="str">
        <f t="shared" si="43"/>
        <v/>
      </c>
    </row>
    <row r="615" spans="1:12" outlineLevel="1">
      <c r="A615" s="54"/>
      <c r="B615" s="8" t="s">
        <v>127</v>
      </c>
      <c r="C615" s="26" t="s">
        <v>3</v>
      </c>
      <c r="D615" s="27"/>
      <c r="E615" s="113" t="str">
        <f t="shared" si="40"/>
        <v/>
      </c>
      <c r="F615" s="34" t="str">
        <f t="shared" si="41"/>
        <v/>
      </c>
      <c r="G615" s="14"/>
      <c r="H615" s="57"/>
      <c r="I615" s="111"/>
      <c r="J615" s="111"/>
      <c r="K615" s="112" t="str">
        <f t="shared" si="42"/>
        <v/>
      </c>
      <c r="L615" s="112" t="str">
        <f t="shared" si="43"/>
        <v/>
      </c>
    </row>
    <row r="616" spans="1:12" outlineLevel="1">
      <c r="A616" s="54"/>
      <c r="B616" s="8" t="s">
        <v>128</v>
      </c>
      <c r="C616" s="26" t="s">
        <v>3</v>
      </c>
      <c r="D616" s="27"/>
      <c r="E616" s="113" t="str">
        <f t="shared" si="40"/>
        <v/>
      </c>
      <c r="F616" s="34" t="str">
        <f t="shared" si="41"/>
        <v/>
      </c>
      <c r="G616" s="14"/>
      <c r="H616" s="57"/>
      <c r="I616" s="111"/>
      <c r="J616" s="111"/>
      <c r="K616" s="112" t="str">
        <f t="shared" si="42"/>
        <v/>
      </c>
      <c r="L616" s="112" t="str">
        <f t="shared" si="43"/>
        <v/>
      </c>
    </row>
    <row r="617" spans="1:12" outlineLevel="1">
      <c r="A617" s="54"/>
      <c r="B617" s="8" t="s">
        <v>129</v>
      </c>
      <c r="C617" s="26" t="s">
        <v>3</v>
      </c>
      <c r="D617" s="27"/>
      <c r="E617" s="113" t="str">
        <f t="shared" si="40"/>
        <v/>
      </c>
      <c r="F617" s="34" t="str">
        <f t="shared" si="41"/>
        <v/>
      </c>
      <c r="G617" s="14"/>
      <c r="H617" s="57"/>
      <c r="I617" s="111"/>
      <c r="J617" s="111"/>
      <c r="K617" s="112" t="str">
        <f t="shared" si="42"/>
        <v/>
      </c>
      <c r="L617" s="112" t="str">
        <f t="shared" si="43"/>
        <v/>
      </c>
    </row>
    <row r="618" spans="1:12" outlineLevel="1">
      <c r="A618" s="54"/>
      <c r="B618" s="8" t="s">
        <v>130</v>
      </c>
      <c r="C618" s="26" t="s">
        <v>3</v>
      </c>
      <c r="D618" s="27"/>
      <c r="E618" s="113" t="str">
        <f t="shared" si="40"/>
        <v/>
      </c>
      <c r="F618" s="34" t="str">
        <f t="shared" si="41"/>
        <v/>
      </c>
      <c r="G618" s="14"/>
      <c r="H618" s="57"/>
      <c r="I618" s="111"/>
      <c r="J618" s="111"/>
      <c r="K618" s="112" t="str">
        <f t="shared" si="42"/>
        <v/>
      </c>
      <c r="L618" s="112" t="str">
        <f t="shared" si="43"/>
        <v/>
      </c>
    </row>
    <row r="619" spans="1:12" outlineLevel="1">
      <c r="A619" s="54"/>
      <c r="B619" s="8" t="s">
        <v>131</v>
      </c>
      <c r="C619" s="26" t="s">
        <v>3</v>
      </c>
      <c r="D619" s="27"/>
      <c r="E619" s="113" t="str">
        <f t="shared" si="40"/>
        <v/>
      </c>
      <c r="F619" s="34" t="str">
        <f t="shared" si="41"/>
        <v/>
      </c>
      <c r="G619" s="14"/>
      <c r="H619" s="57"/>
      <c r="I619" s="111"/>
      <c r="J619" s="111"/>
      <c r="K619" s="112" t="str">
        <f t="shared" si="42"/>
        <v/>
      </c>
      <c r="L619" s="112" t="str">
        <f t="shared" si="43"/>
        <v/>
      </c>
    </row>
    <row r="620" spans="1:12" outlineLevel="1">
      <c r="A620" s="54"/>
      <c r="B620" s="22"/>
      <c r="C620" s="46"/>
      <c r="D620" s="27"/>
      <c r="E620" s="113" t="str">
        <f t="shared" ref="E620:E683" si="44">IF(D620="","",(((K620*$L$2)+(L620*$J$2*$J$3))*$L$3)/D620)</f>
        <v/>
      </c>
      <c r="F620" s="34" t="str">
        <f t="shared" ref="F620:F683" si="45">IF(D620="","",D620*E620)</f>
        <v/>
      </c>
      <c r="G620" s="14"/>
      <c r="H620" s="57"/>
      <c r="I620" s="111"/>
      <c r="J620" s="111"/>
      <c r="K620" s="112" t="str">
        <f t="shared" ref="K620:K683" si="46">IF(D620="","",I620*D620)</f>
        <v/>
      </c>
      <c r="L620" s="112" t="str">
        <f t="shared" ref="L620:L683" si="47">IF(D620="","",D620*J620)</f>
        <v/>
      </c>
    </row>
    <row r="621" spans="1:12">
      <c r="A621" s="54" t="s">
        <v>239</v>
      </c>
      <c r="B621" s="21" t="s">
        <v>154</v>
      </c>
      <c r="C621" s="26"/>
      <c r="D621" s="27"/>
      <c r="E621" s="113" t="str">
        <f t="shared" si="44"/>
        <v/>
      </c>
      <c r="F621" s="34" t="str">
        <f t="shared" si="45"/>
        <v/>
      </c>
      <c r="G621" s="14"/>
      <c r="H621" s="57"/>
      <c r="I621" s="111"/>
      <c r="J621" s="111"/>
      <c r="K621" s="112" t="str">
        <f t="shared" si="46"/>
        <v/>
      </c>
      <c r="L621" s="112" t="str">
        <f t="shared" si="47"/>
        <v/>
      </c>
    </row>
    <row r="622" spans="1:12" outlineLevel="1">
      <c r="A622" s="54"/>
      <c r="B622" s="22"/>
      <c r="C622" s="26"/>
      <c r="D622" s="27"/>
      <c r="E622" s="113" t="str">
        <f t="shared" si="44"/>
        <v/>
      </c>
      <c r="F622" s="34" t="str">
        <f t="shared" si="45"/>
        <v/>
      </c>
      <c r="G622" s="14"/>
      <c r="H622" s="57"/>
      <c r="I622" s="111"/>
      <c r="J622" s="111"/>
      <c r="K622" s="112" t="str">
        <f t="shared" si="46"/>
        <v/>
      </c>
      <c r="L622" s="112" t="str">
        <f t="shared" si="47"/>
        <v/>
      </c>
    </row>
    <row r="623" spans="1:12" outlineLevel="1">
      <c r="A623" s="54"/>
      <c r="B623" s="8" t="s">
        <v>132</v>
      </c>
      <c r="C623" s="26" t="s">
        <v>3</v>
      </c>
      <c r="D623" s="27"/>
      <c r="E623" s="113" t="str">
        <f t="shared" si="44"/>
        <v/>
      </c>
      <c r="F623" s="34" t="str">
        <f t="shared" si="45"/>
        <v/>
      </c>
      <c r="G623" s="14"/>
      <c r="H623" s="57"/>
      <c r="I623" s="111"/>
      <c r="J623" s="111"/>
      <c r="K623" s="112" t="str">
        <f t="shared" si="46"/>
        <v/>
      </c>
      <c r="L623" s="112" t="str">
        <f t="shared" si="47"/>
        <v/>
      </c>
    </row>
    <row r="624" spans="1:12" outlineLevel="1">
      <c r="A624" s="54"/>
      <c r="B624" s="8" t="s">
        <v>133</v>
      </c>
      <c r="C624" s="26" t="s">
        <v>3</v>
      </c>
      <c r="D624" s="27"/>
      <c r="E624" s="113" t="str">
        <f t="shared" si="44"/>
        <v/>
      </c>
      <c r="F624" s="34" t="str">
        <f t="shared" si="45"/>
        <v/>
      </c>
      <c r="G624" s="14"/>
      <c r="H624" s="57"/>
      <c r="I624" s="111"/>
      <c r="J624" s="111"/>
      <c r="K624" s="112" t="str">
        <f t="shared" si="46"/>
        <v/>
      </c>
      <c r="L624" s="112" t="str">
        <f t="shared" si="47"/>
        <v/>
      </c>
    </row>
    <row r="625" spans="1:12" outlineLevel="1">
      <c r="A625" s="54"/>
      <c r="B625" s="22"/>
      <c r="C625" s="46"/>
      <c r="D625" s="27"/>
      <c r="E625" s="113" t="str">
        <f t="shared" si="44"/>
        <v/>
      </c>
      <c r="F625" s="34" t="str">
        <f t="shared" si="45"/>
        <v/>
      </c>
      <c r="G625" s="14"/>
      <c r="H625" s="57"/>
      <c r="I625" s="111"/>
      <c r="J625" s="111"/>
      <c r="K625" s="112" t="str">
        <f t="shared" si="46"/>
        <v/>
      </c>
      <c r="L625" s="112" t="str">
        <f t="shared" si="47"/>
        <v/>
      </c>
    </row>
    <row r="626" spans="1:12">
      <c r="A626" s="54" t="s">
        <v>240</v>
      </c>
      <c r="B626" s="21" t="s">
        <v>412</v>
      </c>
      <c r="C626" s="26"/>
      <c r="D626" s="27"/>
      <c r="E626" s="113" t="str">
        <f t="shared" si="44"/>
        <v/>
      </c>
      <c r="F626" s="34" t="str">
        <f t="shared" si="45"/>
        <v/>
      </c>
      <c r="G626" s="14"/>
      <c r="H626" s="57"/>
      <c r="I626" s="111"/>
      <c r="J626" s="111"/>
      <c r="K626" s="112" t="str">
        <f t="shared" si="46"/>
        <v/>
      </c>
      <c r="L626" s="112" t="str">
        <f t="shared" si="47"/>
        <v/>
      </c>
    </row>
    <row r="627" spans="1:12" outlineLevel="1">
      <c r="A627" s="54"/>
      <c r="B627" s="22"/>
      <c r="C627" s="26"/>
      <c r="D627" s="27"/>
      <c r="E627" s="113" t="str">
        <f t="shared" si="44"/>
        <v/>
      </c>
      <c r="F627" s="34" t="str">
        <f t="shared" si="45"/>
        <v/>
      </c>
      <c r="G627" s="14"/>
      <c r="H627" s="57"/>
      <c r="I627" s="111"/>
      <c r="J627" s="111"/>
      <c r="K627" s="112" t="str">
        <f t="shared" si="46"/>
        <v/>
      </c>
      <c r="L627" s="112" t="str">
        <f t="shared" si="47"/>
        <v/>
      </c>
    </row>
    <row r="628" spans="1:12" outlineLevel="1">
      <c r="A628" s="54"/>
      <c r="B628" s="8" t="s">
        <v>47</v>
      </c>
      <c r="C628" s="26" t="s">
        <v>4</v>
      </c>
      <c r="D628" s="27"/>
      <c r="E628" s="113" t="str">
        <f t="shared" si="44"/>
        <v/>
      </c>
      <c r="F628" s="34" t="str">
        <f t="shared" si="45"/>
        <v/>
      </c>
      <c r="G628" s="14"/>
      <c r="H628" s="57"/>
      <c r="I628" s="111"/>
      <c r="J628" s="111"/>
      <c r="K628" s="112" t="str">
        <f t="shared" si="46"/>
        <v/>
      </c>
      <c r="L628" s="112" t="str">
        <f t="shared" si="47"/>
        <v/>
      </c>
    </row>
    <row r="629" spans="1:12" outlineLevel="1">
      <c r="A629" s="54"/>
      <c r="B629" s="8" t="s">
        <v>134</v>
      </c>
      <c r="C629" s="26" t="s">
        <v>4</v>
      </c>
      <c r="D629" s="27"/>
      <c r="E629" s="113" t="str">
        <f t="shared" si="44"/>
        <v/>
      </c>
      <c r="F629" s="34" t="str">
        <f t="shared" si="45"/>
        <v/>
      </c>
      <c r="G629" s="14"/>
      <c r="H629" s="57"/>
      <c r="I629" s="111"/>
      <c r="J629" s="111"/>
      <c r="K629" s="112" t="str">
        <f t="shared" si="46"/>
        <v/>
      </c>
      <c r="L629" s="112" t="str">
        <f t="shared" si="47"/>
        <v/>
      </c>
    </row>
    <row r="630" spans="1:12" outlineLevel="1">
      <c r="A630" s="54"/>
      <c r="B630" s="8" t="s">
        <v>52</v>
      </c>
      <c r="C630" s="26" t="s">
        <v>4</v>
      </c>
      <c r="D630" s="27"/>
      <c r="E630" s="113" t="str">
        <f t="shared" si="44"/>
        <v/>
      </c>
      <c r="F630" s="34" t="str">
        <f t="shared" si="45"/>
        <v/>
      </c>
      <c r="G630" s="14"/>
      <c r="H630" s="57"/>
      <c r="I630" s="111"/>
      <c r="J630" s="111"/>
      <c r="K630" s="112" t="str">
        <f t="shared" si="46"/>
        <v/>
      </c>
      <c r="L630" s="112" t="str">
        <f t="shared" si="47"/>
        <v/>
      </c>
    </row>
    <row r="631" spans="1:12" outlineLevel="1">
      <c r="A631" s="54"/>
      <c r="B631" s="8" t="s">
        <v>135</v>
      </c>
      <c r="C631" s="26" t="s">
        <v>26</v>
      </c>
      <c r="D631" s="27"/>
      <c r="E631" s="113" t="str">
        <f t="shared" si="44"/>
        <v/>
      </c>
      <c r="F631" s="34" t="str">
        <f t="shared" si="45"/>
        <v/>
      </c>
      <c r="G631" s="14"/>
      <c r="H631" s="57"/>
      <c r="I631" s="111"/>
      <c r="J631" s="111"/>
      <c r="K631" s="112" t="str">
        <f t="shared" si="46"/>
        <v/>
      </c>
      <c r="L631" s="112" t="str">
        <f t="shared" si="47"/>
        <v/>
      </c>
    </row>
    <row r="632" spans="1:12" outlineLevel="1">
      <c r="A632" s="54"/>
      <c r="B632" s="8" t="s">
        <v>49</v>
      </c>
      <c r="C632" s="26" t="s">
        <v>26</v>
      </c>
      <c r="D632" s="27"/>
      <c r="E632" s="113" t="str">
        <f t="shared" si="44"/>
        <v/>
      </c>
      <c r="F632" s="34" t="str">
        <f t="shared" si="45"/>
        <v/>
      </c>
      <c r="G632" s="14"/>
      <c r="H632" s="57"/>
      <c r="I632" s="111"/>
      <c r="J632" s="111"/>
      <c r="K632" s="112" t="str">
        <f t="shared" si="46"/>
        <v/>
      </c>
      <c r="L632" s="112" t="str">
        <f t="shared" si="47"/>
        <v/>
      </c>
    </row>
    <row r="633" spans="1:12" outlineLevel="1">
      <c r="A633" s="54"/>
      <c r="B633" s="8" t="s">
        <v>50</v>
      </c>
      <c r="C633" s="26" t="s">
        <v>26</v>
      </c>
      <c r="D633" s="27"/>
      <c r="E633" s="113" t="str">
        <f t="shared" si="44"/>
        <v/>
      </c>
      <c r="F633" s="34" t="str">
        <f t="shared" si="45"/>
        <v/>
      </c>
      <c r="G633" s="14"/>
      <c r="H633" s="57"/>
      <c r="I633" s="111"/>
      <c r="J633" s="111"/>
      <c r="K633" s="112" t="str">
        <f t="shared" si="46"/>
        <v/>
      </c>
      <c r="L633" s="112" t="str">
        <f t="shared" si="47"/>
        <v/>
      </c>
    </row>
    <row r="634" spans="1:12" outlineLevel="1">
      <c r="A634" s="54"/>
      <c r="B634" s="8" t="s">
        <v>51</v>
      </c>
      <c r="C634" s="26" t="s">
        <v>26</v>
      </c>
      <c r="D634" s="27"/>
      <c r="E634" s="113" t="str">
        <f t="shared" si="44"/>
        <v/>
      </c>
      <c r="F634" s="34" t="str">
        <f t="shared" si="45"/>
        <v/>
      </c>
      <c r="G634" s="14"/>
      <c r="H634" s="57"/>
      <c r="I634" s="111"/>
      <c r="J634" s="111"/>
      <c r="K634" s="112" t="str">
        <f t="shared" si="46"/>
        <v/>
      </c>
      <c r="L634" s="112" t="str">
        <f t="shared" si="47"/>
        <v/>
      </c>
    </row>
    <row r="635" spans="1:12" outlineLevel="1">
      <c r="A635" s="54"/>
      <c r="B635" s="22"/>
      <c r="C635" s="46"/>
      <c r="D635" s="27"/>
      <c r="E635" s="113" t="str">
        <f t="shared" si="44"/>
        <v/>
      </c>
      <c r="F635" s="34" t="str">
        <f t="shared" si="45"/>
        <v/>
      </c>
      <c r="G635" s="14"/>
      <c r="H635" s="57"/>
      <c r="I635" s="111"/>
      <c r="J635" s="111"/>
      <c r="K635" s="112" t="str">
        <f t="shared" si="46"/>
        <v/>
      </c>
      <c r="L635" s="112" t="str">
        <f t="shared" si="47"/>
        <v/>
      </c>
    </row>
    <row r="636" spans="1:12">
      <c r="A636" s="54" t="s">
        <v>241</v>
      </c>
      <c r="B636" s="21" t="s">
        <v>54</v>
      </c>
      <c r="C636" s="26"/>
      <c r="D636" s="27"/>
      <c r="E636" s="113" t="str">
        <f t="shared" si="44"/>
        <v/>
      </c>
      <c r="F636" s="34" t="str">
        <f t="shared" si="45"/>
        <v/>
      </c>
      <c r="G636" s="14"/>
      <c r="H636" s="57"/>
      <c r="I636" s="111"/>
      <c r="J636" s="111"/>
      <c r="K636" s="112" t="str">
        <f t="shared" si="46"/>
        <v/>
      </c>
      <c r="L636" s="112" t="str">
        <f t="shared" si="47"/>
        <v/>
      </c>
    </row>
    <row r="637" spans="1:12" outlineLevel="1">
      <c r="A637" s="54"/>
      <c r="B637" s="22"/>
      <c r="C637" s="26"/>
      <c r="D637" s="27"/>
      <c r="E637" s="113" t="str">
        <f t="shared" si="44"/>
        <v/>
      </c>
      <c r="F637" s="34" t="str">
        <f t="shared" si="45"/>
        <v/>
      </c>
      <c r="G637" s="14"/>
      <c r="H637" s="57"/>
      <c r="I637" s="111"/>
      <c r="J637" s="111"/>
      <c r="K637" s="112" t="str">
        <f t="shared" si="46"/>
        <v/>
      </c>
      <c r="L637" s="112" t="str">
        <f t="shared" si="47"/>
        <v/>
      </c>
    </row>
    <row r="638" spans="1:12" outlineLevel="1">
      <c r="A638" s="54"/>
      <c r="B638" s="8" t="s">
        <v>136</v>
      </c>
      <c r="C638" s="26" t="s">
        <v>5</v>
      </c>
      <c r="D638" s="27"/>
      <c r="E638" s="113" t="str">
        <f t="shared" si="44"/>
        <v/>
      </c>
      <c r="F638" s="34" t="str">
        <f t="shared" si="45"/>
        <v/>
      </c>
      <c r="G638" s="14"/>
      <c r="H638" s="57"/>
      <c r="I638" s="111"/>
      <c r="J638" s="111"/>
      <c r="K638" s="112" t="str">
        <f t="shared" si="46"/>
        <v/>
      </c>
      <c r="L638" s="112" t="str">
        <f t="shared" si="47"/>
        <v/>
      </c>
    </row>
    <row r="639" spans="1:12" outlineLevel="1">
      <c r="A639" s="54"/>
      <c r="B639" s="8" t="s">
        <v>198</v>
      </c>
      <c r="C639" s="26" t="s">
        <v>5</v>
      </c>
      <c r="D639" s="27"/>
      <c r="E639" s="113" t="str">
        <f t="shared" si="44"/>
        <v/>
      </c>
      <c r="F639" s="34" t="str">
        <f t="shared" si="45"/>
        <v/>
      </c>
      <c r="G639" s="14"/>
      <c r="H639" s="57"/>
      <c r="I639" s="111"/>
      <c r="J639" s="111"/>
      <c r="K639" s="112" t="str">
        <f t="shared" si="46"/>
        <v/>
      </c>
      <c r="L639" s="112" t="str">
        <f t="shared" si="47"/>
        <v/>
      </c>
    </row>
    <row r="640" spans="1:12" outlineLevel="1">
      <c r="A640" s="54"/>
      <c r="B640" s="8" t="s">
        <v>137</v>
      </c>
      <c r="C640" s="26" t="s">
        <v>5</v>
      </c>
      <c r="D640" s="27"/>
      <c r="E640" s="113" t="str">
        <f t="shared" si="44"/>
        <v/>
      </c>
      <c r="F640" s="34" t="str">
        <f t="shared" si="45"/>
        <v/>
      </c>
      <c r="G640" s="14"/>
      <c r="H640" s="57"/>
      <c r="I640" s="111"/>
      <c r="J640" s="111"/>
      <c r="K640" s="112" t="str">
        <f t="shared" si="46"/>
        <v/>
      </c>
      <c r="L640" s="112" t="str">
        <f t="shared" si="47"/>
        <v/>
      </c>
    </row>
    <row r="641" spans="1:12" outlineLevel="1">
      <c r="A641" s="54"/>
      <c r="B641" s="8" t="s">
        <v>362</v>
      </c>
      <c r="C641" s="26" t="s">
        <v>5</v>
      </c>
      <c r="D641" s="27"/>
      <c r="E641" s="113" t="str">
        <f t="shared" si="44"/>
        <v/>
      </c>
      <c r="F641" s="34" t="str">
        <f t="shared" si="45"/>
        <v/>
      </c>
      <c r="G641" s="14"/>
      <c r="H641" s="57"/>
      <c r="I641" s="111"/>
      <c r="J641" s="111"/>
      <c r="K641" s="112" t="str">
        <f t="shared" si="46"/>
        <v/>
      </c>
      <c r="L641" s="112" t="str">
        <f t="shared" si="47"/>
        <v/>
      </c>
    </row>
    <row r="642" spans="1:12" outlineLevel="1">
      <c r="A642" s="54"/>
      <c r="B642" s="8" t="s">
        <v>363</v>
      </c>
      <c r="C642" s="26" t="s">
        <v>5</v>
      </c>
      <c r="D642" s="27"/>
      <c r="E642" s="113" t="str">
        <f t="shared" si="44"/>
        <v/>
      </c>
      <c r="F642" s="34" t="str">
        <f t="shared" si="45"/>
        <v/>
      </c>
      <c r="G642" s="14"/>
      <c r="H642" s="57"/>
      <c r="I642" s="111"/>
      <c r="J642" s="111"/>
      <c r="K642" s="112" t="str">
        <f t="shared" si="46"/>
        <v/>
      </c>
      <c r="L642" s="112" t="str">
        <f t="shared" si="47"/>
        <v/>
      </c>
    </row>
    <row r="643" spans="1:12" outlineLevel="1">
      <c r="A643" s="54"/>
      <c r="B643" s="8" t="s">
        <v>138</v>
      </c>
      <c r="C643" s="26" t="s">
        <v>5</v>
      </c>
      <c r="D643" s="27"/>
      <c r="E643" s="113" t="str">
        <f t="shared" si="44"/>
        <v/>
      </c>
      <c r="F643" s="34" t="str">
        <f t="shared" si="45"/>
        <v/>
      </c>
      <c r="G643" s="14"/>
      <c r="H643" s="57"/>
      <c r="I643" s="111"/>
      <c r="J643" s="111"/>
      <c r="K643" s="112" t="str">
        <f t="shared" si="46"/>
        <v/>
      </c>
      <c r="L643" s="112" t="str">
        <f t="shared" si="47"/>
        <v/>
      </c>
    </row>
    <row r="644" spans="1:12" outlineLevel="1">
      <c r="A644" s="54"/>
      <c r="B644" s="8" t="s">
        <v>139</v>
      </c>
      <c r="C644" s="26" t="s">
        <v>26</v>
      </c>
      <c r="D644" s="27"/>
      <c r="E644" s="113" t="str">
        <f t="shared" si="44"/>
        <v/>
      </c>
      <c r="F644" s="34" t="str">
        <f t="shared" si="45"/>
        <v/>
      </c>
      <c r="G644" s="14"/>
      <c r="H644" s="57"/>
      <c r="I644" s="111"/>
      <c r="J644" s="111"/>
      <c r="K644" s="112" t="str">
        <f t="shared" si="46"/>
        <v/>
      </c>
      <c r="L644" s="112" t="str">
        <f t="shared" si="47"/>
        <v/>
      </c>
    </row>
    <row r="645" spans="1:12" outlineLevel="1">
      <c r="A645" s="54"/>
      <c r="B645" s="8" t="s">
        <v>378</v>
      </c>
      <c r="C645" s="26" t="s">
        <v>5</v>
      </c>
      <c r="D645" s="27"/>
      <c r="E645" s="113" t="str">
        <f t="shared" si="44"/>
        <v/>
      </c>
      <c r="F645" s="34" t="str">
        <f t="shared" si="45"/>
        <v/>
      </c>
      <c r="G645" s="14"/>
      <c r="H645" s="57"/>
      <c r="I645" s="111"/>
      <c r="J645" s="111"/>
      <c r="K645" s="112" t="str">
        <f t="shared" si="46"/>
        <v/>
      </c>
      <c r="L645" s="112" t="str">
        <f t="shared" si="47"/>
        <v/>
      </c>
    </row>
    <row r="646" spans="1:12" outlineLevel="1">
      <c r="A646" s="54"/>
      <c r="B646" s="8" t="s">
        <v>379</v>
      </c>
      <c r="C646" s="26" t="s">
        <v>5</v>
      </c>
      <c r="D646" s="27"/>
      <c r="E646" s="113" t="str">
        <f t="shared" si="44"/>
        <v/>
      </c>
      <c r="F646" s="34" t="str">
        <f t="shared" si="45"/>
        <v/>
      </c>
      <c r="G646" s="14"/>
      <c r="H646" s="57"/>
      <c r="I646" s="111"/>
      <c r="J646" s="111"/>
      <c r="K646" s="112" t="str">
        <f t="shared" si="46"/>
        <v/>
      </c>
      <c r="L646" s="112" t="str">
        <f t="shared" si="47"/>
        <v/>
      </c>
    </row>
    <row r="647" spans="1:12" outlineLevel="1">
      <c r="A647" s="54"/>
      <c r="B647" s="8"/>
      <c r="C647" s="26"/>
      <c r="D647" s="27"/>
      <c r="E647" s="113" t="str">
        <f t="shared" si="44"/>
        <v/>
      </c>
      <c r="F647" s="34" t="str">
        <f t="shared" si="45"/>
        <v/>
      </c>
      <c r="G647" s="14"/>
      <c r="H647" s="57"/>
      <c r="I647" s="111"/>
      <c r="J647" s="111"/>
      <c r="K647" s="112" t="str">
        <f t="shared" si="46"/>
        <v/>
      </c>
      <c r="L647" s="112" t="str">
        <f t="shared" si="47"/>
        <v/>
      </c>
    </row>
    <row r="648" spans="1:12" outlineLevel="1">
      <c r="A648" s="54"/>
      <c r="B648" s="8" t="s">
        <v>192</v>
      </c>
      <c r="C648" s="26" t="s">
        <v>5</v>
      </c>
      <c r="D648" s="27"/>
      <c r="E648" s="113" t="str">
        <f t="shared" si="44"/>
        <v/>
      </c>
      <c r="F648" s="34" t="str">
        <f t="shared" si="45"/>
        <v/>
      </c>
      <c r="G648" s="14"/>
      <c r="H648" s="57"/>
      <c r="I648" s="111"/>
      <c r="J648" s="111"/>
      <c r="K648" s="112" t="str">
        <f t="shared" si="46"/>
        <v/>
      </c>
      <c r="L648" s="112" t="str">
        <f t="shared" si="47"/>
        <v/>
      </c>
    </row>
    <row r="649" spans="1:12" outlineLevel="1">
      <c r="A649" s="54"/>
      <c r="B649" s="8" t="s">
        <v>193</v>
      </c>
      <c r="C649" s="26" t="s">
        <v>5</v>
      </c>
      <c r="D649" s="27"/>
      <c r="E649" s="113" t="str">
        <f t="shared" si="44"/>
        <v/>
      </c>
      <c r="F649" s="34" t="str">
        <f t="shared" si="45"/>
        <v/>
      </c>
      <c r="G649" s="14"/>
      <c r="H649" s="57"/>
      <c r="I649" s="111"/>
      <c r="J649" s="111"/>
      <c r="K649" s="112" t="str">
        <f t="shared" si="46"/>
        <v/>
      </c>
      <c r="L649" s="112" t="str">
        <f t="shared" si="47"/>
        <v/>
      </c>
    </row>
    <row r="650" spans="1:12" outlineLevel="1">
      <c r="A650" s="54"/>
      <c r="B650" s="8" t="s">
        <v>195</v>
      </c>
      <c r="C650" s="26" t="s">
        <v>5</v>
      </c>
      <c r="D650" s="27"/>
      <c r="E650" s="113" t="str">
        <f t="shared" si="44"/>
        <v/>
      </c>
      <c r="F650" s="34" t="str">
        <f t="shared" si="45"/>
        <v/>
      </c>
      <c r="G650" s="14"/>
      <c r="H650" s="57"/>
      <c r="I650" s="111"/>
      <c r="J650" s="111"/>
      <c r="K650" s="112" t="str">
        <f t="shared" si="46"/>
        <v/>
      </c>
      <c r="L650" s="112" t="str">
        <f t="shared" si="47"/>
        <v/>
      </c>
    </row>
    <row r="651" spans="1:12" outlineLevel="1">
      <c r="A651" s="54"/>
      <c r="B651" s="8" t="s">
        <v>196</v>
      </c>
      <c r="C651" s="26" t="s">
        <v>5</v>
      </c>
      <c r="D651" s="27"/>
      <c r="E651" s="113" t="str">
        <f t="shared" si="44"/>
        <v/>
      </c>
      <c r="F651" s="34" t="str">
        <f t="shared" si="45"/>
        <v/>
      </c>
      <c r="G651" s="14"/>
      <c r="H651" s="57"/>
      <c r="I651" s="111"/>
      <c r="J651" s="111"/>
      <c r="K651" s="112" t="str">
        <f t="shared" si="46"/>
        <v/>
      </c>
      <c r="L651" s="112" t="str">
        <f t="shared" si="47"/>
        <v/>
      </c>
    </row>
    <row r="652" spans="1:12" outlineLevel="1">
      <c r="A652" s="54"/>
      <c r="B652" s="8"/>
      <c r="C652" s="26"/>
      <c r="D652" s="27"/>
      <c r="E652" s="113" t="str">
        <f t="shared" si="44"/>
        <v/>
      </c>
      <c r="F652" s="34" t="str">
        <f t="shared" si="45"/>
        <v/>
      </c>
      <c r="G652" s="14"/>
      <c r="H652" s="57"/>
      <c r="I652" s="111"/>
      <c r="J652" s="111"/>
      <c r="K652" s="112" t="str">
        <f t="shared" si="46"/>
        <v/>
      </c>
      <c r="L652" s="112" t="str">
        <f t="shared" si="47"/>
        <v/>
      </c>
    </row>
    <row r="653" spans="1:12" outlineLevel="1">
      <c r="A653" s="54"/>
      <c r="B653" s="8" t="s">
        <v>140</v>
      </c>
      <c r="C653" s="26" t="s">
        <v>5</v>
      </c>
      <c r="D653" s="27"/>
      <c r="E653" s="113" t="str">
        <f t="shared" si="44"/>
        <v/>
      </c>
      <c r="F653" s="34" t="str">
        <f t="shared" si="45"/>
        <v/>
      </c>
      <c r="G653" s="14"/>
      <c r="H653" s="57"/>
      <c r="I653" s="111"/>
      <c r="J653" s="111"/>
      <c r="K653" s="112" t="str">
        <f t="shared" si="46"/>
        <v/>
      </c>
      <c r="L653" s="112" t="str">
        <f t="shared" si="47"/>
        <v/>
      </c>
    </row>
    <row r="654" spans="1:12" outlineLevel="1">
      <c r="A654" s="54"/>
      <c r="B654" s="8" t="s">
        <v>443</v>
      </c>
      <c r="C654" s="26" t="s">
        <v>5</v>
      </c>
      <c r="D654" s="27"/>
      <c r="E654" s="113" t="str">
        <f t="shared" si="44"/>
        <v/>
      </c>
      <c r="F654" s="34" t="str">
        <f t="shared" si="45"/>
        <v/>
      </c>
      <c r="G654" s="14"/>
      <c r="H654" s="57"/>
      <c r="I654" s="111"/>
      <c r="J654" s="111"/>
      <c r="K654" s="112" t="str">
        <f t="shared" si="46"/>
        <v/>
      </c>
      <c r="L654" s="112" t="str">
        <f t="shared" si="47"/>
        <v/>
      </c>
    </row>
    <row r="655" spans="1:12" outlineLevel="1">
      <c r="A655" s="54"/>
      <c r="B655" s="8" t="s">
        <v>141</v>
      </c>
      <c r="C655" s="26" t="s">
        <v>5</v>
      </c>
      <c r="D655" s="27"/>
      <c r="E655" s="113" t="str">
        <f t="shared" si="44"/>
        <v/>
      </c>
      <c r="F655" s="34" t="str">
        <f t="shared" si="45"/>
        <v/>
      </c>
      <c r="G655" s="14"/>
      <c r="H655" s="57"/>
      <c r="I655" s="111"/>
      <c r="J655" s="111"/>
      <c r="K655" s="112" t="str">
        <f t="shared" si="46"/>
        <v/>
      </c>
      <c r="L655" s="112" t="str">
        <f t="shared" si="47"/>
        <v/>
      </c>
    </row>
    <row r="656" spans="1:12" outlineLevel="1">
      <c r="A656" s="54"/>
      <c r="B656" s="8" t="s">
        <v>311</v>
      </c>
      <c r="C656" s="26" t="s">
        <v>5</v>
      </c>
      <c r="D656" s="27"/>
      <c r="E656" s="113" t="str">
        <f t="shared" si="44"/>
        <v/>
      </c>
      <c r="F656" s="34" t="str">
        <f t="shared" si="45"/>
        <v/>
      </c>
      <c r="G656" s="14"/>
      <c r="H656" s="57"/>
      <c r="I656" s="111"/>
      <c r="J656" s="111"/>
      <c r="K656" s="112" t="str">
        <f t="shared" si="46"/>
        <v/>
      </c>
      <c r="L656" s="112" t="str">
        <f t="shared" si="47"/>
        <v/>
      </c>
    </row>
    <row r="657" spans="1:12" outlineLevel="1">
      <c r="A657" s="54"/>
      <c r="B657" s="8" t="s">
        <v>376</v>
      </c>
      <c r="C657" s="26" t="s">
        <v>5</v>
      </c>
      <c r="D657" s="27"/>
      <c r="E657" s="113" t="str">
        <f t="shared" si="44"/>
        <v/>
      </c>
      <c r="F657" s="34" t="str">
        <f t="shared" si="45"/>
        <v/>
      </c>
      <c r="G657" s="14"/>
      <c r="H657" s="57"/>
      <c r="I657" s="111"/>
      <c r="J657" s="111"/>
      <c r="K657" s="112" t="str">
        <f t="shared" si="46"/>
        <v/>
      </c>
      <c r="L657" s="112" t="str">
        <f t="shared" si="47"/>
        <v/>
      </c>
    </row>
    <row r="658" spans="1:12" outlineLevel="1">
      <c r="A658" s="54"/>
      <c r="B658" s="8" t="s">
        <v>291</v>
      </c>
      <c r="C658" s="26" t="s">
        <v>5</v>
      </c>
      <c r="D658" s="27"/>
      <c r="E658" s="113" t="str">
        <f t="shared" si="44"/>
        <v/>
      </c>
      <c r="F658" s="34" t="str">
        <f t="shared" si="45"/>
        <v/>
      </c>
      <c r="G658" s="14"/>
      <c r="H658" s="57"/>
      <c r="I658" s="111"/>
      <c r="J658" s="111"/>
      <c r="K658" s="112" t="str">
        <f t="shared" si="46"/>
        <v/>
      </c>
      <c r="L658" s="112" t="str">
        <f t="shared" si="47"/>
        <v/>
      </c>
    </row>
    <row r="659" spans="1:12" outlineLevel="1">
      <c r="A659" s="54"/>
      <c r="B659" s="32"/>
      <c r="C659" s="46"/>
      <c r="D659" s="27"/>
      <c r="E659" s="113" t="str">
        <f t="shared" si="44"/>
        <v/>
      </c>
      <c r="F659" s="34" t="str">
        <f t="shared" si="45"/>
        <v/>
      </c>
      <c r="G659" s="14"/>
      <c r="H659" s="57"/>
      <c r="I659" s="111"/>
      <c r="J659" s="111"/>
      <c r="K659" s="112" t="str">
        <f t="shared" si="46"/>
        <v/>
      </c>
      <c r="L659" s="112" t="str">
        <f t="shared" si="47"/>
        <v/>
      </c>
    </row>
    <row r="660" spans="1:12">
      <c r="A660" s="54" t="s">
        <v>242</v>
      </c>
      <c r="B660" s="76" t="s">
        <v>55</v>
      </c>
      <c r="C660" s="26"/>
      <c r="D660" s="27"/>
      <c r="E660" s="113" t="str">
        <f t="shared" si="44"/>
        <v/>
      </c>
      <c r="F660" s="34" t="str">
        <f t="shared" si="45"/>
        <v/>
      </c>
      <c r="G660" s="14"/>
      <c r="H660" s="57"/>
      <c r="I660" s="111"/>
      <c r="J660" s="111"/>
      <c r="K660" s="112" t="str">
        <f t="shared" si="46"/>
        <v/>
      </c>
      <c r="L660" s="112" t="str">
        <f t="shared" si="47"/>
        <v/>
      </c>
    </row>
    <row r="661" spans="1:12" outlineLevel="1">
      <c r="A661" s="54"/>
      <c r="B661" s="8"/>
      <c r="C661" s="26"/>
      <c r="D661" s="27"/>
      <c r="E661" s="113" t="str">
        <f t="shared" si="44"/>
        <v/>
      </c>
      <c r="F661" s="34" t="str">
        <f t="shared" si="45"/>
        <v/>
      </c>
      <c r="G661" s="14"/>
      <c r="H661" s="57"/>
      <c r="I661" s="111"/>
      <c r="J661" s="111"/>
      <c r="K661" s="112" t="str">
        <f t="shared" si="46"/>
        <v/>
      </c>
      <c r="L661" s="112" t="str">
        <f t="shared" si="47"/>
        <v/>
      </c>
    </row>
    <row r="662" spans="1:12" outlineLevel="1">
      <c r="A662" s="54"/>
      <c r="B662" s="22" t="s">
        <v>384</v>
      </c>
      <c r="C662" s="26" t="s">
        <v>5</v>
      </c>
      <c r="D662" s="27"/>
      <c r="E662" s="113" t="str">
        <f t="shared" si="44"/>
        <v/>
      </c>
      <c r="F662" s="34" t="str">
        <f t="shared" si="45"/>
        <v/>
      </c>
      <c r="G662" s="14"/>
      <c r="H662" s="57"/>
      <c r="I662" s="111"/>
      <c r="J662" s="111"/>
      <c r="K662" s="112" t="str">
        <f t="shared" si="46"/>
        <v/>
      </c>
      <c r="L662" s="112" t="str">
        <f t="shared" si="47"/>
        <v/>
      </c>
    </row>
    <row r="663" spans="1:12" outlineLevel="1">
      <c r="A663" s="54"/>
      <c r="B663" s="22" t="s">
        <v>371</v>
      </c>
      <c r="C663" s="26" t="s">
        <v>5</v>
      </c>
      <c r="D663" s="27"/>
      <c r="E663" s="113" t="str">
        <f t="shared" si="44"/>
        <v/>
      </c>
      <c r="F663" s="34" t="str">
        <f t="shared" si="45"/>
        <v/>
      </c>
      <c r="G663" s="14"/>
      <c r="H663" s="57"/>
      <c r="I663" s="111"/>
      <c r="J663" s="111"/>
      <c r="K663" s="112" t="str">
        <f t="shared" si="46"/>
        <v/>
      </c>
      <c r="L663" s="112" t="str">
        <f t="shared" si="47"/>
        <v/>
      </c>
    </row>
    <row r="664" spans="1:12" outlineLevel="1">
      <c r="A664" s="54"/>
      <c r="B664" s="22" t="s">
        <v>385</v>
      </c>
      <c r="C664" s="26" t="s">
        <v>5</v>
      </c>
      <c r="D664" s="27"/>
      <c r="E664" s="113" t="str">
        <f t="shared" si="44"/>
        <v/>
      </c>
      <c r="F664" s="34" t="str">
        <f t="shared" si="45"/>
        <v/>
      </c>
      <c r="G664" s="14"/>
      <c r="H664" s="57"/>
      <c r="I664" s="111"/>
      <c r="J664" s="111"/>
      <c r="K664" s="112" t="str">
        <f t="shared" si="46"/>
        <v/>
      </c>
      <c r="L664" s="112" t="str">
        <f t="shared" si="47"/>
        <v/>
      </c>
    </row>
    <row r="665" spans="1:12" outlineLevel="1">
      <c r="A665" s="54"/>
      <c r="B665" s="22" t="s">
        <v>386</v>
      </c>
      <c r="C665" s="26" t="s">
        <v>5</v>
      </c>
      <c r="D665" s="27"/>
      <c r="E665" s="113" t="str">
        <f t="shared" si="44"/>
        <v/>
      </c>
      <c r="F665" s="34" t="str">
        <f t="shared" si="45"/>
        <v/>
      </c>
      <c r="G665" s="14"/>
      <c r="H665" s="57"/>
      <c r="I665" s="111"/>
      <c r="J665" s="111"/>
      <c r="K665" s="112" t="str">
        <f t="shared" si="46"/>
        <v/>
      </c>
      <c r="L665" s="112" t="str">
        <f t="shared" si="47"/>
        <v/>
      </c>
    </row>
    <row r="666" spans="1:12" outlineLevel="1">
      <c r="A666" s="54"/>
      <c r="B666" s="22" t="s">
        <v>387</v>
      </c>
      <c r="C666" s="26" t="s">
        <v>5</v>
      </c>
      <c r="D666" s="27"/>
      <c r="E666" s="113" t="str">
        <f t="shared" si="44"/>
        <v/>
      </c>
      <c r="F666" s="34" t="str">
        <f t="shared" si="45"/>
        <v/>
      </c>
      <c r="G666" s="14"/>
      <c r="H666" s="57"/>
      <c r="I666" s="111"/>
      <c r="J666" s="111"/>
      <c r="K666" s="112" t="str">
        <f t="shared" si="46"/>
        <v/>
      </c>
      <c r="L666" s="112" t="str">
        <f t="shared" si="47"/>
        <v/>
      </c>
    </row>
    <row r="667" spans="1:12" outlineLevel="1">
      <c r="A667" s="54"/>
      <c r="B667" s="22" t="s">
        <v>388</v>
      </c>
      <c r="C667" s="26" t="s">
        <v>5</v>
      </c>
      <c r="D667" s="27"/>
      <c r="E667" s="113" t="str">
        <f t="shared" si="44"/>
        <v/>
      </c>
      <c r="F667" s="34" t="str">
        <f t="shared" si="45"/>
        <v/>
      </c>
      <c r="G667" s="14"/>
      <c r="H667" s="57"/>
      <c r="I667" s="111"/>
      <c r="J667" s="111"/>
      <c r="K667" s="112" t="str">
        <f t="shared" si="46"/>
        <v/>
      </c>
      <c r="L667" s="112" t="str">
        <f t="shared" si="47"/>
        <v/>
      </c>
    </row>
    <row r="668" spans="1:12" outlineLevel="1">
      <c r="A668" s="54"/>
      <c r="B668" s="22" t="s">
        <v>389</v>
      </c>
      <c r="C668" s="26" t="s">
        <v>5</v>
      </c>
      <c r="D668" s="27"/>
      <c r="E668" s="113" t="str">
        <f t="shared" si="44"/>
        <v/>
      </c>
      <c r="F668" s="34" t="str">
        <f t="shared" si="45"/>
        <v/>
      </c>
      <c r="G668" s="14"/>
      <c r="H668" s="57"/>
      <c r="I668" s="111"/>
      <c r="J668" s="111"/>
      <c r="K668" s="112" t="str">
        <f t="shared" si="46"/>
        <v/>
      </c>
      <c r="L668" s="112" t="str">
        <f t="shared" si="47"/>
        <v/>
      </c>
    </row>
    <row r="669" spans="1:12" outlineLevel="1">
      <c r="A669" s="54"/>
      <c r="B669" s="22" t="s">
        <v>390</v>
      </c>
      <c r="C669" s="26" t="s">
        <v>5</v>
      </c>
      <c r="D669" s="27"/>
      <c r="E669" s="113" t="str">
        <f t="shared" si="44"/>
        <v/>
      </c>
      <c r="F669" s="34" t="str">
        <f t="shared" si="45"/>
        <v/>
      </c>
      <c r="G669" s="14"/>
      <c r="H669" s="57"/>
      <c r="I669" s="111"/>
      <c r="J669" s="111"/>
      <c r="K669" s="112" t="str">
        <f t="shared" si="46"/>
        <v/>
      </c>
      <c r="L669" s="112" t="str">
        <f t="shared" si="47"/>
        <v/>
      </c>
    </row>
    <row r="670" spans="1:12" outlineLevel="1">
      <c r="A670" s="54"/>
      <c r="B670" s="22" t="s">
        <v>273</v>
      </c>
      <c r="C670" s="26" t="s">
        <v>5</v>
      </c>
      <c r="D670" s="27"/>
      <c r="E670" s="113" t="str">
        <f t="shared" si="44"/>
        <v/>
      </c>
      <c r="F670" s="34" t="str">
        <f t="shared" si="45"/>
        <v/>
      </c>
      <c r="G670" s="14"/>
      <c r="H670" s="57"/>
      <c r="I670" s="111"/>
      <c r="J670" s="111"/>
      <c r="K670" s="112" t="str">
        <f t="shared" si="46"/>
        <v/>
      </c>
      <c r="L670" s="112" t="str">
        <f t="shared" si="47"/>
        <v/>
      </c>
    </row>
    <row r="671" spans="1:12" outlineLevel="1">
      <c r="A671" s="54"/>
      <c r="B671" s="22" t="s">
        <v>391</v>
      </c>
      <c r="C671" s="26" t="s">
        <v>5</v>
      </c>
      <c r="D671" s="27"/>
      <c r="E671" s="113" t="str">
        <f t="shared" si="44"/>
        <v/>
      </c>
      <c r="F671" s="34" t="str">
        <f t="shared" si="45"/>
        <v/>
      </c>
      <c r="G671" s="14"/>
      <c r="H671" s="57"/>
      <c r="I671" s="111"/>
      <c r="J671" s="111"/>
      <c r="K671" s="112" t="str">
        <f t="shared" si="46"/>
        <v/>
      </c>
      <c r="L671" s="112" t="str">
        <f t="shared" si="47"/>
        <v/>
      </c>
    </row>
    <row r="672" spans="1:12" outlineLevel="1">
      <c r="A672" s="54"/>
      <c r="B672" s="22" t="s">
        <v>392</v>
      </c>
      <c r="C672" s="26" t="s">
        <v>5</v>
      </c>
      <c r="D672" s="27"/>
      <c r="E672" s="113" t="str">
        <f t="shared" si="44"/>
        <v/>
      </c>
      <c r="F672" s="34" t="str">
        <f t="shared" si="45"/>
        <v/>
      </c>
      <c r="G672" s="14"/>
      <c r="H672" s="57"/>
      <c r="I672" s="111"/>
      <c r="J672" s="111"/>
      <c r="K672" s="112" t="str">
        <f t="shared" si="46"/>
        <v/>
      </c>
      <c r="L672" s="112" t="str">
        <f t="shared" si="47"/>
        <v/>
      </c>
    </row>
    <row r="673" spans="1:12" outlineLevel="1">
      <c r="A673" s="54"/>
      <c r="B673" s="22" t="s">
        <v>393</v>
      </c>
      <c r="C673" s="26" t="s">
        <v>5</v>
      </c>
      <c r="D673" s="27"/>
      <c r="E673" s="113" t="str">
        <f t="shared" si="44"/>
        <v/>
      </c>
      <c r="F673" s="34" t="str">
        <f t="shared" si="45"/>
        <v/>
      </c>
      <c r="G673" s="14"/>
      <c r="H673" s="57"/>
      <c r="I673" s="111"/>
      <c r="J673" s="111"/>
      <c r="K673" s="112" t="str">
        <f t="shared" si="46"/>
        <v/>
      </c>
      <c r="L673" s="112" t="str">
        <f t="shared" si="47"/>
        <v/>
      </c>
    </row>
    <row r="674" spans="1:12" outlineLevel="1">
      <c r="A674" s="54"/>
      <c r="B674" s="22" t="s">
        <v>394</v>
      </c>
      <c r="C674" s="26" t="s">
        <v>5</v>
      </c>
      <c r="D674" s="27"/>
      <c r="E674" s="113" t="str">
        <f t="shared" si="44"/>
        <v/>
      </c>
      <c r="F674" s="34" t="str">
        <f t="shared" si="45"/>
        <v/>
      </c>
      <c r="G674" s="14"/>
      <c r="H674" s="57"/>
      <c r="I674" s="111"/>
      <c r="J674" s="111"/>
      <c r="K674" s="112" t="str">
        <f t="shared" si="46"/>
        <v/>
      </c>
      <c r="L674" s="112" t="str">
        <f t="shared" si="47"/>
        <v/>
      </c>
    </row>
    <row r="675" spans="1:12" outlineLevel="1">
      <c r="A675" s="54"/>
      <c r="B675" s="22" t="s">
        <v>274</v>
      </c>
      <c r="C675" s="26" t="s">
        <v>5</v>
      </c>
      <c r="D675" s="27"/>
      <c r="E675" s="113" t="str">
        <f t="shared" si="44"/>
        <v/>
      </c>
      <c r="F675" s="34" t="str">
        <f t="shared" si="45"/>
        <v/>
      </c>
      <c r="G675" s="14"/>
      <c r="H675" s="57"/>
      <c r="I675" s="111"/>
      <c r="J675" s="111"/>
      <c r="K675" s="112" t="str">
        <f t="shared" si="46"/>
        <v/>
      </c>
      <c r="L675" s="112" t="str">
        <f t="shared" si="47"/>
        <v/>
      </c>
    </row>
    <row r="676" spans="1:12" outlineLevel="1">
      <c r="A676" s="54"/>
      <c r="B676" s="22" t="s">
        <v>275</v>
      </c>
      <c r="C676" s="26" t="s">
        <v>5</v>
      </c>
      <c r="D676" s="27"/>
      <c r="E676" s="113" t="str">
        <f t="shared" si="44"/>
        <v/>
      </c>
      <c r="F676" s="34" t="str">
        <f t="shared" si="45"/>
        <v/>
      </c>
      <c r="G676" s="14"/>
      <c r="H676" s="57"/>
      <c r="I676" s="111"/>
      <c r="J676" s="111"/>
      <c r="K676" s="112" t="str">
        <f t="shared" si="46"/>
        <v/>
      </c>
      <c r="L676" s="112" t="str">
        <f t="shared" si="47"/>
        <v/>
      </c>
    </row>
    <row r="677" spans="1:12" outlineLevel="1">
      <c r="A677" s="54"/>
      <c r="B677" s="22" t="s">
        <v>395</v>
      </c>
      <c r="C677" s="26" t="s">
        <v>5</v>
      </c>
      <c r="D677" s="27"/>
      <c r="E677" s="113" t="str">
        <f t="shared" si="44"/>
        <v/>
      </c>
      <c r="F677" s="34" t="str">
        <f t="shared" si="45"/>
        <v/>
      </c>
      <c r="G677" s="14"/>
      <c r="H677" s="57"/>
      <c r="I677" s="111"/>
      <c r="J677" s="111"/>
      <c r="K677" s="112" t="str">
        <f t="shared" si="46"/>
        <v/>
      </c>
      <c r="L677" s="112" t="str">
        <f t="shared" si="47"/>
        <v/>
      </c>
    </row>
    <row r="678" spans="1:12" outlineLevel="1">
      <c r="A678" s="54"/>
      <c r="B678" s="22" t="s">
        <v>396</v>
      </c>
      <c r="C678" s="26" t="s">
        <v>5</v>
      </c>
      <c r="D678" s="27"/>
      <c r="E678" s="113" t="str">
        <f t="shared" si="44"/>
        <v/>
      </c>
      <c r="F678" s="34" t="str">
        <f t="shared" si="45"/>
        <v/>
      </c>
      <c r="G678" s="14"/>
      <c r="H678" s="57"/>
      <c r="I678" s="111"/>
      <c r="J678" s="111"/>
      <c r="K678" s="112" t="str">
        <f t="shared" si="46"/>
        <v/>
      </c>
      <c r="L678" s="112" t="str">
        <f t="shared" si="47"/>
        <v/>
      </c>
    </row>
    <row r="679" spans="1:12" outlineLevel="1">
      <c r="A679" s="54"/>
      <c r="B679" s="22" t="s">
        <v>282</v>
      </c>
      <c r="C679" s="26" t="s">
        <v>5</v>
      </c>
      <c r="D679" s="27"/>
      <c r="E679" s="113" t="str">
        <f t="shared" si="44"/>
        <v/>
      </c>
      <c r="F679" s="34" t="str">
        <f t="shared" si="45"/>
        <v/>
      </c>
      <c r="G679" s="14"/>
      <c r="H679" s="57"/>
      <c r="I679" s="111"/>
      <c r="J679" s="111"/>
      <c r="K679" s="112" t="str">
        <f t="shared" si="46"/>
        <v/>
      </c>
      <c r="L679" s="112" t="str">
        <f t="shared" si="47"/>
        <v/>
      </c>
    </row>
    <row r="680" spans="1:12" outlineLevel="1">
      <c r="A680" s="54"/>
      <c r="B680" s="22" t="s">
        <v>397</v>
      </c>
      <c r="C680" s="26" t="s">
        <v>5</v>
      </c>
      <c r="D680" s="27"/>
      <c r="E680" s="113" t="str">
        <f t="shared" si="44"/>
        <v/>
      </c>
      <c r="F680" s="34" t="str">
        <f t="shared" si="45"/>
        <v/>
      </c>
      <c r="G680" s="14"/>
      <c r="H680" s="57"/>
      <c r="I680" s="111"/>
      <c r="J680" s="111"/>
      <c r="K680" s="112" t="str">
        <f t="shared" si="46"/>
        <v/>
      </c>
      <c r="L680" s="112" t="str">
        <f t="shared" si="47"/>
        <v/>
      </c>
    </row>
    <row r="681" spans="1:12" outlineLevel="1">
      <c r="A681" s="54"/>
      <c r="B681" s="22" t="s">
        <v>399</v>
      </c>
      <c r="C681" s="26" t="s">
        <v>5</v>
      </c>
      <c r="D681" s="27"/>
      <c r="E681" s="113" t="str">
        <f t="shared" si="44"/>
        <v/>
      </c>
      <c r="F681" s="34" t="str">
        <f t="shared" si="45"/>
        <v/>
      </c>
      <c r="G681" s="14"/>
      <c r="H681" s="57"/>
      <c r="I681" s="111"/>
      <c r="J681" s="111"/>
      <c r="K681" s="112" t="str">
        <f t="shared" si="46"/>
        <v/>
      </c>
      <c r="L681" s="112" t="str">
        <f t="shared" si="47"/>
        <v/>
      </c>
    </row>
    <row r="682" spans="1:12" outlineLevel="1">
      <c r="A682" s="54"/>
      <c r="B682" s="22" t="s">
        <v>398</v>
      </c>
      <c r="C682" s="26" t="s">
        <v>5</v>
      </c>
      <c r="D682" s="27"/>
      <c r="E682" s="113" t="str">
        <f t="shared" si="44"/>
        <v/>
      </c>
      <c r="F682" s="34" t="str">
        <f t="shared" si="45"/>
        <v/>
      </c>
      <c r="G682" s="14"/>
      <c r="H682" s="57"/>
      <c r="I682" s="111"/>
      <c r="J682" s="111"/>
      <c r="K682" s="112" t="str">
        <f t="shared" si="46"/>
        <v/>
      </c>
      <c r="L682" s="112" t="str">
        <f t="shared" si="47"/>
        <v/>
      </c>
    </row>
    <row r="683" spans="1:12" outlineLevel="1">
      <c r="A683" s="54"/>
      <c r="B683" s="8" t="s">
        <v>423</v>
      </c>
      <c r="C683" s="26" t="s">
        <v>26</v>
      </c>
      <c r="D683" s="27"/>
      <c r="E683" s="113" t="str">
        <f t="shared" si="44"/>
        <v/>
      </c>
      <c r="F683" s="34" t="str">
        <f t="shared" si="45"/>
        <v/>
      </c>
      <c r="G683" s="14"/>
      <c r="H683" s="57"/>
      <c r="I683" s="111"/>
      <c r="J683" s="111"/>
      <c r="K683" s="112" t="str">
        <f t="shared" si="46"/>
        <v/>
      </c>
      <c r="L683" s="112" t="str">
        <f t="shared" si="47"/>
        <v/>
      </c>
    </row>
    <row r="684" spans="1:12" outlineLevel="1">
      <c r="A684" s="54"/>
      <c r="B684" s="8"/>
      <c r="C684" s="26"/>
      <c r="D684" s="27"/>
      <c r="E684" s="113" t="str">
        <f t="shared" ref="E684:E747" si="48">IF(D684="","",(((K684*$L$2)+(L684*$J$2*$J$3))*$L$3)/D684)</f>
        <v/>
      </c>
      <c r="F684" s="34" t="str">
        <f t="shared" ref="F684:F747" si="49">IF(D684="","",D684*E684)</f>
        <v/>
      </c>
      <c r="G684" s="14"/>
      <c r="H684" s="57"/>
      <c r="I684" s="111"/>
      <c r="J684" s="111"/>
      <c r="K684" s="112" t="str">
        <f t="shared" ref="K684:K747" si="50">IF(D684="","",I684*D684)</f>
        <v/>
      </c>
      <c r="L684" s="112" t="str">
        <f t="shared" ref="L684:L747" si="51">IF(D684="","",D684*J684)</f>
        <v/>
      </c>
    </row>
    <row r="685" spans="1:12">
      <c r="A685" s="54" t="s">
        <v>243</v>
      </c>
      <c r="B685" s="76" t="s">
        <v>60</v>
      </c>
      <c r="C685" s="26"/>
      <c r="D685" s="27"/>
      <c r="E685" s="113" t="str">
        <f t="shared" si="48"/>
        <v/>
      </c>
      <c r="F685" s="34" t="str">
        <f t="shared" si="49"/>
        <v/>
      </c>
      <c r="G685" s="14"/>
      <c r="H685" s="57"/>
      <c r="I685" s="111"/>
      <c r="J685" s="111"/>
      <c r="K685" s="112" t="str">
        <f t="shared" si="50"/>
        <v/>
      </c>
      <c r="L685" s="112" t="str">
        <f t="shared" si="51"/>
        <v/>
      </c>
    </row>
    <row r="686" spans="1:12" outlineLevel="1">
      <c r="A686" s="54"/>
      <c r="B686" s="8"/>
      <c r="C686" s="26"/>
      <c r="D686" s="27"/>
      <c r="E686" s="113" t="str">
        <f t="shared" si="48"/>
        <v/>
      </c>
      <c r="F686" s="34" t="str">
        <f t="shared" si="49"/>
        <v/>
      </c>
      <c r="G686" s="14"/>
      <c r="H686" s="57"/>
      <c r="I686" s="111"/>
      <c r="J686" s="111"/>
      <c r="K686" s="112" t="str">
        <f t="shared" si="50"/>
        <v/>
      </c>
      <c r="L686" s="112" t="str">
        <f t="shared" si="51"/>
        <v/>
      </c>
    </row>
    <row r="687" spans="1:12" outlineLevel="1">
      <c r="A687" s="54"/>
      <c r="B687" s="8" t="s">
        <v>424</v>
      </c>
      <c r="C687" s="26" t="s">
        <v>5</v>
      </c>
      <c r="D687" s="27"/>
      <c r="E687" s="113" t="str">
        <f t="shared" si="48"/>
        <v/>
      </c>
      <c r="F687" s="34" t="str">
        <f t="shared" si="49"/>
        <v/>
      </c>
      <c r="G687" s="14"/>
      <c r="H687" s="57"/>
      <c r="I687" s="111"/>
      <c r="J687" s="111"/>
      <c r="K687" s="112" t="str">
        <f t="shared" si="50"/>
        <v/>
      </c>
      <c r="L687" s="112" t="str">
        <f t="shared" si="51"/>
        <v/>
      </c>
    </row>
    <row r="688" spans="1:12" outlineLevel="1">
      <c r="A688" s="54"/>
      <c r="B688" s="8" t="s">
        <v>425</v>
      </c>
      <c r="C688" s="26" t="s">
        <v>5</v>
      </c>
      <c r="D688" s="27"/>
      <c r="E688" s="113" t="str">
        <f t="shared" si="48"/>
        <v/>
      </c>
      <c r="F688" s="34" t="str">
        <f t="shared" si="49"/>
        <v/>
      </c>
      <c r="G688" s="14"/>
      <c r="H688" s="57"/>
      <c r="I688" s="111"/>
      <c r="J688" s="111"/>
      <c r="K688" s="112" t="str">
        <f t="shared" si="50"/>
        <v/>
      </c>
      <c r="L688" s="112" t="str">
        <f t="shared" si="51"/>
        <v/>
      </c>
    </row>
    <row r="689" spans="1:12" outlineLevel="1">
      <c r="A689" s="54"/>
      <c r="B689" s="8" t="s">
        <v>372</v>
      </c>
      <c r="C689" s="26" t="s">
        <v>26</v>
      </c>
      <c r="D689" s="27"/>
      <c r="E689" s="113" t="str">
        <f t="shared" si="48"/>
        <v/>
      </c>
      <c r="F689" s="34" t="str">
        <f t="shared" si="49"/>
        <v/>
      </c>
      <c r="G689" s="14"/>
      <c r="H689" s="57"/>
      <c r="I689" s="111"/>
      <c r="J689" s="111"/>
      <c r="K689" s="112" t="str">
        <f t="shared" si="50"/>
        <v/>
      </c>
      <c r="L689" s="112" t="str">
        <f t="shared" si="51"/>
        <v/>
      </c>
    </row>
    <row r="690" spans="1:12" outlineLevel="1">
      <c r="A690" s="54"/>
      <c r="B690" s="8" t="s">
        <v>61</v>
      </c>
      <c r="C690" s="26" t="s">
        <v>26</v>
      </c>
      <c r="D690" s="27"/>
      <c r="E690" s="113" t="str">
        <f t="shared" si="48"/>
        <v/>
      </c>
      <c r="F690" s="34" t="str">
        <f t="shared" si="49"/>
        <v/>
      </c>
      <c r="G690" s="14"/>
      <c r="H690" s="57"/>
      <c r="I690" s="111"/>
      <c r="J690" s="111"/>
      <c r="K690" s="112" t="str">
        <f t="shared" si="50"/>
        <v/>
      </c>
      <c r="L690" s="112" t="str">
        <f t="shared" si="51"/>
        <v/>
      </c>
    </row>
    <row r="691" spans="1:12" outlineLevel="1">
      <c r="A691" s="54"/>
      <c r="B691" s="22" t="s">
        <v>444</v>
      </c>
      <c r="C691" s="26" t="s">
        <v>5</v>
      </c>
      <c r="D691" s="27"/>
      <c r="E691" s="113" t="str">
        <f t="shared" si="48"/>
        <v/>
      </c>
      <c r="F691" s="34" t="str">
        <f t="shared" si="49"/>
        <v/>
      </c>
      <c r="G691" s="14"/>
      <c r="H691" s="57"/>
      <c r="I691" s="111"/>
      <c r="J691" s="111"/>
      <c r="K691" s="112" t="str">
        <f t="shared" si="50"/>
        <v/>
      </c>
      <c r="L691" s="112" t="str">
        <f t="shared" si="51"/>
        <v/>
      </c>
    </row>
    <row r="692" spans="1:12" outlineLevel="1">
      <c r="A692" s="54"/>
      <c r="B692" s="8" t="s">
        <v>64</v>
      </c>
      <c r="C692" s="26" t="s">
        <v>5</v>
      </c>
      <c r="D692" s="27"/>
      <c r="E692" s="113" t="str">
        <f t="shared" si="48"/>
        <v/>
      </c>
      <c r="F692" s="34" t="str">
        <f t="shared" si="49"/>
        <v/>
      </c>
      <c r="G692" s="14"/>
      <c r="H692" s="57"/>
      <c r="I692" s="111"/>
      <c r="J692" s="111"/>
      <c r="K692" s="112" t="str">
        <f t="shared" si="50"/>
        <v/>
      </c>
      <c r="L692" s="112" t="str">
        <f t="shared" si="51"/>
        <v/>
      </c>
    </row>
    <row r="693" spans="1:12" outlineLevel="1">
      <c r="A693" s="54"/>
      <c r="B693" s="8"/>
      <c r="C693" s="26"/>
      <c r="D693" s="27"/>
      <c r="E693" s="113" t="str">
        <f t="shared" si="48"/>
        <v/>
      </c>
      <c r="F693" s="34" t="str">
        <f t="shared" si="49"/>
        <v/>
      </c>
      <c r="G693" s="14"/>
      <c r="H693" s="57"/>
      <c r="I693" s="111"/>
      <c r="J693" s="111"/>
      <c r="K693" s="112" t="str">
        <f t="shared" si="50"/>
        <v/>
      </c>
      <c r="L693" s="112" t="str">
        <f t="shared" si="51"/>
        <v/>
      </c>
    </row>
    <row r="694" spans="1:12">
      <c r="A694" s="54" t="s">
        <v>244</v>
      </c>
      <c r="B694" s="21" t="s">
        <v>445</v>
      </c>
      <c r="C694" s="26"/>
      <c r="D694" s="27"/>
      <c r="E694" s="113" t="str">
        <f t="shared" si="48"/>
        <v/>
      </c>
      <c r="F694" s="34" t="str">
        <f t="shared" si="49"/>
        <v/>
      </c>
      <c r="G694" s="14"/>
      <c r="H694" s="57"/>
      <c r="I694" s="111"/>
      <c r="J694" s="111"/>
      <c r="K694" s="112" t="str">
        <f t="shared" si="50"/>
        <v/>
      </c>
      <c r="L694" s="112" t="str">
        <f t="shared" si="51"/>
        <v/>
      </c>
    </row>
    <row r="695" spans="1:12" outlineLevel="1">
      <c r="A695" s="54"/>
      <c r="B695" s="8"/>
      <c r="C695" s="26"/>
      <c r="D695" s="27"/>
      <c r="E695" s="113" t="str">
        <f t="shared" si="48"/>
        <v/>
      </c>
      <c r="F695" s="34" t="str">
        <f t="shared" si="49"/>
        <v/>
      </c>
      <c r="G695" s="14"/>
      <c r="H695" s="57"/>
      <c r="I695" s="111"/>
      <c r="J695" s="111"/>
      <c r="K695" s="112" t="str">
        <f t="shared" si="50"/>
        <v/>
      </c>
      <c r="L695" s="112" t="str">
        <f t="shared" si="51"/>
        <v/>
      </c>
    </row>
    <row r="696" spans="1:12" outlineLevel="1">
      <c r="A696" s="54"/>
      <c r="B696" s="8" t="s">
        <v>265</v>
      </c>
      <c r="C696" s="26" t="s">
        <v>5</v>
      </c>
      <c r="D696" s="27"/>
      <c r="E696" s="113" t="str">
        <f t="shared" si="48"/>
        <v/>
      </c>
      <c r="F696" s="34" t="str">
        <f t="shared" si="49"/>
        <v/>
      </c>
      <c r="G696" s="14"/>
      <c r="H696" s="57"/>
      <c r="I696" s="111"/>
      <c r="J696" s="111"/>
      <c r="K696" s="112" t="str">
        <f t="shared" si="50"/>
        <v/>
      </c>
      <c r="L696" s="112" t="str">
        <f t="shared" si="51"/>
        <v/>
      </c>
    </row>
    <row r="697" spans="1:12" outlineLevel="1">
      <c r="A697" s="54"/>
      <c r="B697" s="8" t="s">
        <v>144</v>
      </c>
      <c r="C697" s="26" t="s">
        <v>26</v>
      </c>
      <c r="D697" s="27"/>
      <c r="E697" s="113" t="str">
        <f t="shared" si="48"/>
        <v/>
      </c>
      <c r="F697" s="34" t="str">
        <f t="shared" si="49"/>
        <v/>
      </c>
      <c r="G697" s="14"/>
      <c r="H697" s="57"/>
      <c r="I697" s="111"/>
      <c r="J697" s="111"/>
      <c r="K697" s="112" t="str">
        <f t="shared" si="50"/>
        <v/>
      </c>
      <c r="L697" s="112" t="str">
        <f t="shared" si="51"/>
        <v/>
      </c>
    </row>
    <row r="698" spans="1:12" outlineLevel="1">
      <c r="A698" s="54"/>
      <c r="B698" s="8" t="s">
        <v>145</v>
      </c>
      <c r="C698" s="26" t="s">
        <v>26</v>
      </c>
      <c r="D698" s="27"/>
      <c r="E698" s="113" t="str">
        <f t="shared" si="48"/>
        <v/>
      </c>
      <c r="F698" s="34" t="str">
        <f t="shared" si="49"/>
        <v/>
      </c>
      <c r="G698" s="14"/>
      <c r="H698" s="57"/>
      <c r="I698" s="111"/>
      <c r="J698" s="111"/>
      <c r="K698" s="112" t="str">
        <f t="shared" si="50"/>
        <v/>
      </c>
      <c r="L698" s="112" t="str">
        <f t="shared" si="51"/>
        <v/>
      </c>
    </row>
    <row r="699" spans="1:12" outlineLevel="1">
      <c r="A699" s="54"/>
      <c r="B699" s="8" t="s">
        <v>146</v>
      </c>
      <c r="C699" s="26" t="s">
        <v>26</v>
      </c>
      <c r="D699" s="27"/>
      <c r="E699" s="113" t="str">
        <f t="shared" si="48"/>
        <v/>
      </c>
      <c r="F699" s="34" t="str">
        <f t="shared" si="49"/>
        <v/>
      </c>
      <c r="G699" s="14"/>
      <c r="H699" s="57"/>
      <c r="I699" s="111"/>
      <c r="J699" s="111"/>
      <c r="K699" s="112" t="str">
        <f t="shared" si="50"/>
        <v/>
      </c>
      <c r="L699" s="112" t="str">
        <f t="shared" si="51"/>
        <v/>
      </c>
    </row>
    <row r="700" spans="1:12" outlineLevel="1">
      <c r="A700" s="54"/>
      <c r="B700" s="8" t="s">
        <v>147</v>
      </c>
      <c r="C700" s="26" t="s">
        <v>26</v>
      </c>
      <c r="D700" s="27"/>
      <c r="E700" s="113" t="str">
        <f t="shared" si="48"/>
        <v/>
      </c>
      <c r="F700" s="34" t="str">
        <f t="shared" si="49"/>
        <v/>
      </c>
      <c r="G700" s="14"/>
      <c r="H700" s="57"/>
      <c r="I700" s="111"/>
      <c r="J700" s="111"/>
      <c r="K700" s="112" t="str">
        <f t="shared" si="50"/>
        <v/>
      </c>
      <c r="L700" s="112" t="str">
        <f t="shared" si="51"/>
        <v/>
      </c>
    </row>
    <row r="701" spans="1:12" outlineLevel="1">
      <c r="A701" s="54"/>
      <c r="B701" s="8" t="s">
        <v>264</v>
      </c>
      <c r="C701" s="26" t="s">
        <v>26</v>
      </c>
      <c r="D701" s="27"/>
      <c r="E701" s="113" t="str">
        <f t="shared" si="48"/>
        <v/>
      </c>
      <c r="F701" s="34" t="str">
        <f t="shared" si="49"/>
        <v/>
      </c>
      <c r="G701" s="14"/>
      <c r="H701" s="57"/>
      <c r="I701" s="111"/>
      <c r="J701" s="111"/>
      <c r="K701" s="112" t="str">
        <f t="shared" si="50"/>
        <v/>
      </c>
      <c r="L701" s="112" t="str">
        <f t="shared" si="51"/>
        <v/>
      </c>
    </row>
    <row r="702" spans="1:12" ht="31" outlineLevel="1">
      <c r="A702" s="54"/>
      <c r="B702" s="8" t="s">
        <v>149</v>
      </c>
      <c r="C702" s="26" t="s">
        <v>4</v>
      </c>
      <c r="D702" s="27"/>
      <c r="E702" s="113" t="str">
        <f t="shared" si="48"/>
        <v/>
      </c>
      <c r="F702" s="34" t="str">
        <f t="shared" si="49"/>
        <v/>
      </c>
      <c r="G702" s="14"/>
      <c r="H702" s="57"/>
      <c r="I702" s="111"/>
      <c r="J702" s="111"/>
      <c r="K702" s="112" t="str">
        <f t="shared" si="50"/>
        <v/>
      </c>
      <c r="L702" s="112" t="str">
        <f t="shared" si="51"/>
        <v/>
      </c>
    </row>
    <row r="703" spans="1:12" outlineLevel="1">
      <c r="A703" s="54"/>
      <c r="B703" s="8" t="s">
        <v>197</v>
      </c>
      <c r="C703" s="26" t="s">
        <v>5</v>
      </c>
      <c r="D703" s="27"/>
      <c r="E703" s="113" t="str">
        <f t="shared" si="48"/>
        <v/>
      </c>
      <c r="F703" s="34" t="str">
        <f t="shared" si="49"/>
        <v/>
      </c>
      <c r="G703" s="14"/>
      <c r="H703" s="57"/>
      <c r="I703" s="111"/>
      <c r="J703" s="111"/>
      <c r="K703" s="112" t="str">
        <f t="shared" si="50"/>
        <v/>
      </c>
      <c r="L703" s="112" t="str">
        <f t="shared" si="51"/>
        <v/>
      </c>
    </row>
    <row r="704" spans="1:12" outlineLevel="1">
      <c r="A704" s="54"/>
      <c r="B704" s="8" t="s">
        <v>151</v>
      </c>
      <c r="C704" s="26" t="s">
        <v>153</v>
      </c>
      <c r="D704" s="27"/>
      <c r="E704" s="113" t="str">
        <f t="shared" si="48"/>
        <v/>
      </c>
      <c r="F704" s="34" t="str">
        <f t="shared" si="49"/>
        <v/>
      </c>
      <c r="G704" s="14"/>
      <c r="H704" s="57"/>
      <c r="I704" s="111"/>
      <c r="J704" s="111"/>
      <c r="K704" s="112" t="str">
        <f t="shared" si="50"/>
        <v/>
      </c>
      <c r="L704" s="112" t="str">
        <f t="shared" si="51"/>
        <v/>
      </c>
    </row>
    <row r="705" spans="1:12" outlineLevel="1">
      <c r="A705" s="54"/>
      <c r="B705" s="8" t="s">
        <v>382</v>
      </c>
      <c r="C705" s="26" t="s">
        <v>4</v>
      </c>
      <c r="D705" s="27"/>
      <c r="E705" s="113" t="str">
        <f t="shared" si="48"/>
        <v/>
      </c>
      <c r="F705" s="34" t="str">
        <f t="shared" si="49"/>
        <v/>
      </c>
      <c r="G705" s="14"/>
      <c r="H705" s="57"/>
      <c r="I705" s="111"/>
      <c r="J705" s="111"/>
      <c r="K705" s="112" t="str">
        <f t="shared" si="50"/>
        <v/>
      </c>
      <c r="L705" s="112" t="str">
        <f t="shared" si="51"/>
        <v/>
      </c>
    </row>
    <row r="706" spans="1:12" outlineLevel="1">
      <c r="A706" s="54"/>
      <c r="B706" s="8" t="s">
        <v>152</v>
      </c>
      <c r="C706" s="26" t="s">
        <v>3</v>
      </c>
      <c r="D706" s="27"/>
      <c r="E706" s="113" t="str">
        <f t="shared" si="48"/>
        <v/>
      </c>
      <c r="F706" s="34" t="str">
        <f t="shared" si="49"/>
        <v/>
      </c>
      <c r="G706" s="14"/>
      <c r="H706" s="57"/>
      <c r="I706" s="111"/>
      <c r="J706" s="111"/>
      <c r="K706" s="112" t="str">
        <f t="shared" si="50"/>
        <v/>
      </c>
      <c r="L706" s="112" t="str">
        <f t="shared" si="51"/>
        <v/>
      </c>
    </row>
    <row r="707" spans="1:12" outlineLevel="1">
      <c r="A707" s="54"/>
      <c r="B707" s="32"/>
      <c r="C707" s="46"/>
      <c r="D707" s="27"/>
      <c r="E707" s="113" t="str">
        <f t="shared" si="48"/>
        <v/>
      </c>
      <c r="F707" s="34" t="str">
        <f t="shared" si="49"/>
        <v/>
      </c>
      <c r="G707" s="14"/>
      <c r="H707" s="57"/>
      <c r="I707" s="111"/>
      <c r="J707" s="111"/>
      <c r="K707" s="112" t="str">
        <f t="shared" si="50"/>
        <v/>
      </c>
      <c r="L707" s="112" t="str">
        <f t="shared" si="51"/>
        <v/>
      </c>
    </row>
    <row r="708" spans="1:12">
      <c r="A708" s="54" t="s">
        <v>245</v>
      </c>
      <c r="B708" s="76" t="s">
        <v>352</v>
      </c>
      <c r="C708" s="26"/>
      <c r="D708" s="27"/>
      <c r="E708" s="113" t="str">
        <f t="shared" si="48"/>
        <v/>
      </c>
      <c r="F708" s="34" t="str">
        <f t="shared" si="49"/>
        <v/>
      </c>
      <c r="G708" s="14"/>
      <c r="H708" s="57"/>
      <c r="I708" s="111"/>
      <c r="J708" s="111"/>
      <c r="K708" s="112" t="str">
        <f t="shared" si="50"/>
        <v/>
      </c>
      <c r="L708" s="112" t="str">
        <f t="shared" si="51"/>
        <v/>
      </c>
    </row>
    <row r="709" spans="1:12" outlineLevel="1">
      <c r="A709" s="54"/>
      <c r="B709" s="33"/>
      <c r="C709" s="26"/>
      <c r="D709" s="27"/>
      <c r="E709" s="113" t="str">
        <f t="shared" si="48"/>
        <v/>
      </c>
      <c r="F709" s="34" t="str">
        <f t="shared" si="49"/>
        <v/>
      </c>
      <c r="G709" s="14"/>
      <c r="H709" s="57"/>
      <c r="I709" s="111"/>
      <c r="J709" s="111"/>
      <c r="K709" s="112" t="str">
        <f t="shared" si="50"/>
        <v/>
      </c>
      <c r="L709" s="112" t="str">
        <f t="shared" si="51"/>
        <v/>
      </c>
    </row>
    <row r="710" spans="1:12" outlineLevel="1">
      <c r="A710" s="54"/>
      <c r="B710" s="33" t="s">
        <v>70</v>
      </c>
      <c r="C710" s="26" t="s">
        <v>3</v>
      </c>
      <c r="D710" s="27"/>
      <c r="E710" s="113" t="str">
        <f t="shared" si="48"/>
        <v/>
      </c>
      <c r="F710" s="34" t="str">
        <f t="shared" si="49"/>
        <v/>
      </c>
      <c r="G710" s="14"/>
      <c r="H710" s="57"/>
      <c r="I710" s="111"/>
      <c r="J710" s="111"/>
      <c r="K710" s="112" t="str">
        <f t="shared" si="50"/>
        <v/>
      </c>
      <c r="L710" s="112" t="str">
        <f t="shared" si="51"/>
        <v/>
      </c>
    </row>
    <row r="711" spans="1:12" outlineLevel="1">
      <c r="A711" s="54"/>
      <c r="B711" s="8" t="s">
        <v>71</v>
      </c>
      <c r="C711" s="26" t="s">
        <v>5</v>
      </c>
      <c r="D711" s="27"/>
      <c r="E711" s="113" t="str">
        <f t="shared" si="48"/>
        <v/>
      </c>
      <c r="F711" s="34" t="str">
        <f t="shared" si="49"/>
        <v/>
      </c>
      <c r="G711" s="14"/>
      <c r="H711" s="57"/>
      <c r="I711" s="111"/>
      <c r="J711" s="111"/>
      <c r="K711" s="112" t="str">
        <f t="shared" si="50"/>
        <v/>
      </c>
      <c r="L711" s="112" t="str">
        <f t="shared" si="51"/>
        <v/>
      </c>
    </row>
    <row r="712" spans="1:12" outlineLevel="1">
      <c r="A712" s="54"/>
      <c r="B712" s="8" t="s">
        <v>72</v>
      </c>
      <c r="C712" s="26" t="s">
        <v>5</v>
      </c>
      <c r="D712" s="27"/>
      <c r="E712" s="113" t="str">
        <f t="shared" si="48"/>
        <v/>
      </c>
      <c r="F712" s="34" t="str">
        <f t="shared" si="49"/>
        <v/>
      </c>
      <c r="G712" s="14"/>
      <c r="H712" s="57"/>
      <c r="I712" s="111"/>
      <c r="J712" s="111"/>
      <c r="K712" s="112" t="str">
        <f t="shared" si="50"/>
        <v/>
      </c>
      <c r="L712" s="112" t="str">
        <f t="shared" si="51"/>
        <v/>
      </c>
    </row>
    <row r="713" spans="1:12" outlineLevel="1">
      <c r="A713" s="54"/>
      <c r="B713" s="8" t="s">
        <v>73</v>
      </c>
      <c r="C713" s="26" t="s">
        <v>26</v>
      </c>
      <c r="D713" s="27"/>
      <c r="E713" s="113" t="str">
        <f t="shared" si="48"/>
        <v/>
      </c>
      <c r="F713" s="34" t="str">
        <f t="shared" si="49"/>
        <v/>
      </c>
      <c r="G713" s="14"/>
      <c r="H713" s="57"/>
      <c r="I713" s="111"/>
      <c r="J713" s="111"/>
      <c r="K713" s="112" t="str">
        <f t="shared" si="50"/>
        <v/>
      </c>
      <c r="L713" s="112" t="str">
        <f t="shared" si="51"/>
        <v/>
      </c>
    </row>
    <row r="714" spans="1:12" outlineLevel="1">
      <c r="A714" s="54"/>
      <c r="B714" s="8" t="s">
        <v>74</v>
      </c>
      <c r="C714" s="26" t="s">
        <v>4</v>
      </c>
      <c r="D714" s="27"/>
      <c r="E714" s="113" t="str">
        <f t="shared" si="48"/>
        <v/>
      </c>
      <c r="F714" s="34" t="str">
        <f t="shared" si="49"/>
        <v/>
      </c>
      <c r="G714" s="14"/>
      <c r="H714" s="57"/>
      <c r="I714" s="111"/>
      <c r="J714" s="111"/>
      <c r="K714" s="112" t="str">
        <f t="shared" si="50"/>
        <v/>
      </c>
      <c r="L714" s="112" t="str">
        <f t="shared" si="51"/>
        <v/>
      </c>
    </row>
    <row r="715" spans="1:12" outlineLevel="1">
      <c r="A715" s="54"/>
      <c r="B715" s="8" t="s">
        <v>75</v>
      </c>
      <c r="C715" s="26" t="s">
        <v>4</v>
      </c>
      <c r="D715" s="27"/>
      <c r="E715" s="113" t="str">
        <f t="shared" si="48"/>
        <v/>
      </c>
      <c r="F715" s="34" t="str">
        <f t="shared" si="49"/>
        <v/>
      </c>
      <c r="G715" s="14"/>
      <c r="H715" s="57"/>
      <c r="I715" s="111"/>
      <c r="J715" s="111"/>
      <c r="K715" s="112" t="str">
        <f t="shared" si="50"/>
        <v/>
      </c>
      <c r="L715" s="112" t="str">
        <f t="shared" si="51"/>
        <v/>
      </c>
    </row>
    <row r="716" spans="1:12" outlineLevel="1">
      <c r="A716" s="54"/>
      <c r="B716" s="8"/>
      <c r="C716" s="26"/>
      <c r="D716" s="27"/>
      <c r="E716" s="113" t="str">
        <f t="shared" si="48"/>
        <v/>
      </c>
      <c r="F716" s="34" t="str">
        <f t="shared" si="49"/>
        <v/>
      </c>
      <c r="G716" s="14"/>
      <c r="H716" s="57"/>
      <c r="I716" s="111"/>
      <c r="J716" s="111"/>
      <c r="K716" s="112" t="str">
        <f t="shared" si="50"/>
        <v/>
      </c>
      <c r="L716" s="112" t="str">
        <f t="shared" si="51"/>
        <v/>
      </c>
    </row>
    <row r="717" spans="1:12" outlineLevel="1">
      <c r="A717" s="54"/>
      <c r="B717" s="33" t="s">
        <v>65</v>
      </c>
      <c r="C717" s="26" t="s">
        <v>3</v>
      </c>
      <c r="D717" s="27"/>
      <c r="E717" s="113" t="str">
        <f t="shared" si="48"/>
        <v/>
      </c>
      <c r="F717" s="34" t="str">
        <f t="shared" si="49"/>
        <v/>
      </c>
      <c r="G717" s="14"/>
      <c r="H717" s="57"/>
      <c r="I717" s="111"/>
      <c r="J717" s="111"/>
      <c r="K717" s="112" t="str">
        <f t="shared" si="50"/>
        <v/>
      </c>
      <c r="L717" s="112" t="str">
        <f t="shared" si="51"/>
        <v/>
      </c>
    </row>
    <row r="718" spans="1:12" outlineLevel="1">
      <c r="A718" s="54"/>
      <c r="B718" s="8" t="s">
        <v>66</v>
      </c>
      <c r="C718" s="26" t="s">
        <v>5</v>
      </c>
      <c r="D718" s="27"/>
      <c r="E718" s="113" t="str">
        <f t="shared" si="48"/>
        <v/>
      </c>
      <c r="F718" s="34" t="str">
        <f t="shared" si="49"/>
        <v/>
      </c>
      <c r="G718" s="14"/>
      <c r="H718" s="57"/>
      <c r="I718" s="111"/>
      <c r="J718" s="111"/>
      <c r="K718" s="112" t="str">
        <f t="shared" si="50"/>
        <v/>
      </c>
      <c r="L718" s="112" t="str">
        <f t="shared" si="51"/>
        <v/>
      </c>
    </row>
    <row r="719" spans="1:12" outlineLevel="1">
      <c r="A719" s="54"/>
      <c r="B719" s="8" t="s">
        <v>67</v>
      </c>
      <c r="C719" s="26" t="s">
        <v>5</v>
      </c>
      <c r="D719" s="27"/>
      <c r="E719" s="113" t="str">
        <f t="shared" si="48"/>
        <v/>
      </c>
      <c r="F719" s="34" t="str">
        <f t="shared" si="49"/>
        <v/>
      </c>
      <c r="G719" s="14"/>
      <c r="H719" s="57"/>
      <c r="I719" s="111"/>
      <c r="J719" s="111"/>
      <c r="K719" s="112" t="str">
        <f t="shared" si="50"/>
        <v/>
      </c>
      <c r="L719" s="112" t="str">
        <f t="shared" si="51"/>
        <v/>
      </c>
    </row>
    <row r="720" spans="1:12" outlineLevel="1">
      <c r="A720" s="54"/>
      <c r="B720" s="8" t="s">
        <v>68</v>
      </c>
      <c r="C720" s="26" t="s">
        <v>5</v>
      </c>
      <c r="D720" s="27"/>
      <c r="E720" s="113" t="str">
        <f t="shared" si="48"/>
        <v/>
      </c>
      <c r="F720" s="34" t="str">
        <f t="shared" si="49"/>
        <v/>
      </c>
      <c r="G720" s="14"/>
      <c r="H720" s="57"/>
      <c r="I720" s="111"/>
      <c r="J720" s="111"/>
      <c r="K720" s="112" t="str">
        <f t="shared" si="50"/>
        <v/>
      </c>
      <c r="L720" s="112" t="str">
        <f t="shared" si="51"/>
        <v/>
      </c>
    </row>
    <row r="721" spans="1:12" outlineLevel="1">
      <c r="A721" s="54"/>
      <c r="B721" s="8" t="s">
        <v>69</v>
      </c>
      <c r="C721" s="26" t="s">
        <v>4</v>
      </c>
      <c r="D721" s="27"/>
      <c r="E721" s="113" t="str">
        <f t="shared" si="48"/>
        <v/>
      </c>
      <c r="F721" s="34" t="str">
        <f t="shared" si="49"/>
        <v/>
      </c>
      <c r="G721" s="14"/>
      <c r="H721" s="57"/>
      <c r="I721" s="111"/>
      <c r="J721" s="111"/>
      <c r="K721" s="112" t="str">
        <f t="shared" si="50"/>
        <v/>
      </c>
      <c r="L721" s="112" t="str">
        <f t="shared" si="51"/>
        <v/>
      </c>
    </row>
    <row r="722" spans="1:12" outlineLevel="1">
      <c r="A722" s="54"/>
      <c r="B722" s="8"/>
      <c r="C722" s="26"/>
      <c r="D722" s="27"/>
      <c r="E722" s="113" t="str">
        <f t="shared" si="48"/>
        <v/>
      </c>
      <c r="F722" s="34" t="str">
        <f t="shared" si="49"/>
        <v/>
      </c>
      <c r="G722" s="14"/>
      <c r="H722" s="57"/>
      <c r="I722" s="111"/>
      <c r="J722" s="111"/>
      <c r="K722" s="112" t="str">
        <f t="shared" si="50"/>
        <v/>
      </c>
      <c r="L722" s="112" t="str">
        <f t="shared" si="51"/>
        <v/>
      </c>
    </row>
    <row r="723" spans="1:12">
      <c r="A723" s="54" t="s">
        <v>246</v>
      </c>
      <c r="B723" s="76" t="s">
        <v>76</v>
      </c>
      <c r="C723" s="26"/>
      <c r="D723" s="27"/>
      <c r="E723" s="113" t="str">
        <f t="shared" si="48"/>
        <v/>
      </c>
      <c r="F723" s="34" t="str">
        <f t="shared" si="49"/>
        <v/>
      </c>
      <c r="G723" s="14"/>
      <c r="H723" s="57"/>
      <c r="I723" s="111"/>
      <c r="J723" s="111"/>
      <c r="K723" s="112" t="str">
        <f t="shared" si="50"/>
        <v/>
      </c>
      <c r="L723" s="112" t="str">
        <f t="shared" si="51"/>
        <v/>
      </c>
    </row>
    <row r="724" spans="1:12" outlineLevel="1">
      <c r="A724" s="54"/>
      <c r="B724" s="8"/>
      <c r="C724" s="26"/>
      <c r="D724" s="27"/>
      <c r="E724" s="113" t="str">
        <f t="shared" si="48"/>
        <v/>
      </c>
      <c r="F724" s="34" t="str">
        <f t="shared" si="49"/>
        <v/>
      </c>
      <c r="G724" s="14"/>
      <c r="H724" s="57"/>
      <c r="I724" s="111"/>
      <c r="J724" s="111"/>
      <c r="K724" s="112" t="str">
        <f t="shared" si="50"/>
        <v/>
      </c>
      <c r="L724" s="112" t="str">
        <f t="shared" si="51"/>
        <v/>
      </c>
    </row>
    <row r="725" spans="1:12" outlineLevel="1">
      <c r="A725" s="54"/>
      <c r="B725" s="8" t="s">
        <v>77</v>
      </c>
      <c r="C725" s="26" t="s">
        <v>5</v>
      </c>
      <c r="D725" s="27"/>
      <c r="E725" s="113" t="str">
        <f t="shared" si="48"/>
        <v/>
      </c>
      <c r="F725" s="34" t="str">
        <f t="shared" si="49"/>
        <v/>
      </c>
      <c r="G725" s="14"/>
      <c r="H725" s="57"/>
      <c r="I725" s="111"/>
      <c r="J725" s="111"/>
      <c r="K725" s="112" t="str">
        <f t="shared" si="50"/>
        <v/>
      </c>
      <c r="L725" s="112" t="str">
        <f t="shared" si="51"/>
        <v/>
      </c>
    </row>
    <row r="726" spans="1:12" outlineLevel="1">
      <c r="A726" s="54"/>
      <c r="B726" s="8" t="s">
        <v>78</v>
      </c>
      <c r="C726" s="26" t="s">
        <v>3</v>
      </c>
      <c r="D726" s="27"/>
      <c r="E726" s="113" t="str">
        <f t="shared" si="48"/>
        <v/>
      </c>
      <c r="F726" s="34" t="str">
        <f t="shared" si="49"/>
        <v/>
      </c>
      <c r="G726" s="14"/>
      <c r="H726" s="57"/>
      <c r="I726" s="111"/>
      <c r="J726" s="111"/>
      <c r="K726" s="112" t="str">
        <f t="shared" si="50"/>
        <v/>
      </c>
      <c r="L726" s="112" t="str">
        <f t="shared" si="51"/>
        <v/>
      </c>
    </row>
    <row r="727" spans="1:12" outlineLevel="1">
      <c r="A727" s="54"/>
      <c r="B727" s="8" t="s">
        <v>79</v>
      </c>
      <c r="C727" s="26" t="s">
        <v>3</v>
      </c>
      <c r="D727" s="27"/>
      <c r="E727" s="113" t="str">
        <f t="shared" si="48"/>
        <v/>
      </c>
      <c r="F727" s="34" t="str">
        <f t="shared" si="49"/>
        <v/>
      </c>
      <c r="G727" s="14"/>
      <c r="H727" s="57"/>
      <c r="I727" s="111"/>
      <c r="J727" s="111"/>
      <c r="K727" s="112" t="str">
        <f t="shared" si="50"/>
        <v/>
      </c>
      <c r="L727" s="112" t="str">
        <f t="shared" si="51"/>
        <v/>
      </c>
    </row>
    <row r="728" spans="1:12" outlineLevel="1">
      <c r="A728" s="54"/>
      <c r="B728" s="8" t="s">
        <v>80</v>
      </c>
      <c r="C728" s="26" t="s">
        <v>4</v>
      </c>
      <c r="D728" s="27"/>
      <c r="E728" s="113" t="str">
        <f t="shared" si="48"/>
        <v/>
      </c>
      <c r="F728" s="34" t="str">
        <f t="shared" si="49"/>
        <v/>
      </c>
      <c r="G728" s="14"/>
      <c r="H728" s="57"/>
      <c r="I728" s="111"/>
      <c r="J728" s="111"/>
      <c r="K728" s="112" t="str">
        <f t="shared" si="50"/>
        <v/>
      </c>
      <c r="L728" s="112" t="str">
        <f t="shared" si="51"/>
        <v/>
      </c>
    </row>
    <row r="729" spans="1:12" outlineLevel="1">
      <c r="A729" s="54"/>
      <c r="B729" s="8" t="s">
        <v>81</v>
      </c>
      <c r="C729" s="26" t="s">
        <v>26</v>
      </c>
      <c r="D729" s="27"/>
      <c r="E729" s="113" t="str">
        <f t="shared" si="48"/>
        <v/>
      </c>
      <c r="F729" s="34" t="str">
        <f t="shared" si="49"/>
        <v/>
      </c>
      <c r="G729" s="14"/>
      <c r="H729" s="57"/>
      <c r="I729" s="111"/>
      <c r="J729" s="111"/>
      <c r="K729" s="112" t="str">
        <f t="shared" si="50"/>
        <v/>
      </c>
      <c r="L729" s="112" t="str">
        <f t="shared" si="51"/>
        <v/>
      </c>
    </row>
    <row r="730" spans="1:12" outlineLevel="1">
      <c r="A730" s="54"/>
      <c r="B730" s="8"/>
      <c r="C730" s="26"/>
      <c r="D730" s="27"/>
      <c r="E730" s="113" t="str">
        <f t="shared" si="48"/>
        <v/>
      </c>
      <c r="F730" s="34" t="str">
        <f t="shared" si="49"/>
        <v/>
      </c>
      <c r="G730" s="14"/>
      <c r="H730" s="57"/>
      <c r="I730" s="111"/>
      <c r="J730" s="111"/>
      <c r="K730" s="112" t="str">
        <f t="shared" si="50"/>
        <v/>
      </c>
      <c r="L730" s="112" t="str">
        <f t="shared" si="51"/>
        <v/>
      </c>
    </row>
    <row r="731" spans="1:12">
      <c r="A731" s="54" t="s">
        <v>247</v>
      </c>
      <c r="B731" s="21" t="s">
        <v>82</v>
      </c>
      <c r="C731" s="26"/>
      <c r="D731" s="27"/>
      <c r="E731" s="113" t="str">
        <f t="shared" si="48"/>
        <v/>
      </c>
      <c r="F731" s="34" t="str">
        <f t="shared" si="49"/>
        <v/>
      </c>
      <c r="G731" s="14"/>
      <c r="H731" s="57"/>
      <c r="I731" s="111"/>
      <c r="J731" s="111"/>
      <c r="K731" s="112" t="str">
        <f t="shared" si="50"/>
        <v/>
      </c>
      <c r="L731" s="112" t="str">
        <f t="shared" si="51"/>
        <v/>
      </c>
    </row>
    <row r="732" spans="1:12" outlineLevel="1">
      <c r="A732" s="54"/>
      <c r="B732" s="22"/>
      <c r="C732" s="26"/>
      <c r="D732" s="27"/>
      <c r="E732" s="113" t="str">
        <f t="shared" si="48"/>
        <v/>
      </c>
      <c r="F732" s="34" t="str">
        <f t="shared" si="49"/>
        <v/>
      </c>
      <c r="G732" s="14"/>
      <c r="H732" s="57"/>
      <c r="I732" s="111"/>
      <c r="J732" s="111"/>
      <c r="K732" s="112" t="str">
        <f t="shared" si="50"/>
        <v/>
      </c>
      <c r="L732" s="112" t="str">
        <f t="shared" si="51"/>
        <v/>
      </c>
    </row>
    <row r="733" spans="1:12" outlineLevel="1">
      <c r="A733" s="54"/>
      <c r="B733" s="8" t="s">
        <v>328</v>
      </c>
      <c r="C733" s="26" t="s">
        <v>5</v>
      </c>
      <c r="D733" s="27"/>
      <c r="E733" s="113" t="str">
        <f t="shared" si="48"/>
        <v/>
      </c>
      <c r="F733" s="34" t="str">
        <f t="shared" si="49"/>
        <v/>
      </c>
      <c r="G733" s="14"/>
      <c r="H733" s="57"/>
      <c r="I733" s="111"/>
      <c r="J733" s="111"/>
      <c r="K733" s="112" t="str">
        <f t="shared" si="50"/>
        <v/>
      </c>
      <c r="L733" s="112" t="str">
        <f t="shared" si="51"/>
        <v/>
      </c>
    </row>
    <row r="734" spans="1:12" outlineLevel="1">
      <c r="A734" s="54"/>
      <c r="B734" s="8" t="s">
        <v>255</v>
      </c>
      <c r="C734" s="26" t="s">
        <v>5</v>
      </c>
      <c r="D734" s="27"/>
      <c r="E734" s="113" t="str">
        <f t="shared" si="48"/>
        <v/>
      </c>
      <c r="F734" s="34" t="str">
        <f t="shared" si="49"/>
        <v/>
      </c>
      <c r="G734" s="14"/>
      <c r="H734" s="57"/>
      <c r="I734" s="111"/>
      <c r="J734" s="111"/>
      <c r="K734" s="112" t="str">
        <f t="shared" si="50"/>
        <v/>
      </c>
      <c r="L734" s="112" t="str">
        <f t="shared" si="51"/>
        <v/>
      </c>
    </row>
    <row r="735" spans="1:12" outlineLevel="1">
      <c r="A735" s="54"/>
      <c r="B735" s="8" t="s">
        <v>256</v>
      </c>
      <c r="C735" s="26" t="s">
        <v>5</v>
      </c>
      <c r="D735" s="27"/>
      <c r="E735" s="113" t="str">
        <f t="shared" si="48"/>
        <v/>
      </c>
      <c r="F735" s="34" t="str">
        <f t="shared" si="49"/>
        <v/>
      </c>
      <c r="G735" s="14"/>
      <c r="H735" s="57"/>
      <c r="I735" s="111"/>
      <c r="J735" s="111"/>
      <c r="K735" s="112" t="str">
        <f t="shared" si="50"/>
        <v/>
      </c>
      <c r="L735" s="112" t="str">
        <f t="shared" si="51"/>
        <v/>
      </c>
    </row>
    <row r="736" spans="1:12" outlineLevel="1">
      <c r="A736" s="54"/>
      <c r="B736" s="8" t="s">
        <v>257</v>
      </c>
      <c r="C736" s="26" t="s">
        <v>5</v>
      </c>
      <c r="D736" s="27"/>
      <c r="E736" s="113" t="str">
        <f t="shared" si="48"/>
        <v/>
      </c>
      <c r="F736" s="34" t="str">
        <f t="shared" si="49"/>
        <v/>
      </c>
      <c r="G736" s="14"/>
      <c r="H736" s="57"/>
      <c r="I736" s="111"/>
      <c r="J736" s="111"/>
      <c r="K736" s="112" t="str">
        <f t="shared" si="50"/>
        <v/>
      </c>
      <c r="L736" s="112" t="str">
        <f t="shared" si="51"/>
        <v/>
      </c>
    </row>
    <row r="737" spans="1:12" outlineLevel="1">
      <c r="A737" s="54"/>
      <c r="B737" s="8" t="s">
        <v>428</v>
      </c>
      <c r="C737" s="26" t="s">
        <v>5</v>
      </c>
      <c r="D737" s="27"/>
      <c r="E737" s="113" t="str">
        <f t="shared" si="48"/>
        <v/>
      </c>
      <c r="F737" s="34" t="str">
        <f t="shared" si="49"/>
        <v/>
      </c>
      <c r="G737" s="14"/>
      <c r="H737" s="57"/>
      <c r="I737" s="111"/>
      <c r="J737" s="111"/>
      <c r="K737" s="112" t="str">
        <f t="shared" si="50"/>
        <v/>
      </c>
      <c r="L737" s="112" t="str">
        <f t="shared" si="51"/>
        <v/>
      </c>
    </row>
    <row r="738" spans="1:12" outlineLevel="1">
      <c r="A738" s="54"/>
      <c r="B738" s="8" t="s">
        <v>329</v>
      </c>
      <c r="C738" s="26" t="s">
        <v>5</v>
      </c>
      <c r="D738" s="27"/>
      <c r="E738" s="113" t="str">
        <f t="shared" si="48"/>
        <v/>
      </c>
      <c r="F738" s="34" t="str">
        <f t="shared" si="49"/>
        <v/>
      </c>
      <c r="G738" s="14"/>
      <c r="H738" s="57"/>
      <c r="I738" s="111"/>
      <c r="J738" s="111"/>
      <c r="K738" s="112" t="str">
        <f t="shared" si="50"/>
        <v/>
      </c>
      <c r="L738" s="112" t="str">
        <f t="shared" si="51"/>
        <v/>
      </c>
    </row>
    <row r="739" spans="1:12" outlineLevel="1">
      <c r="A739" s="54"/>
      <c r="B739" s="8" t="s">
        <v>258</v>
      </c>
      <c r="C739" s="26" t="s">
        <v>5</v>
      </c>
      <c r="D739" s="27"/>
      <c r="E739" s="113" t="str">
        <f t="shared" si="48"/>
        <v/>
      </c>
      <c r="F739" s="34" t="str">
        <f t="shared" si="49"/>
        <v/>
      </c>
      <c r="G739" s="14"/>
      <c r="H739" s="57"/>
      <c r="I739" s="111"/>
      <c r="J739" s="111"/>
      <c r="K739" s="112" t="str">
        <f t="shared" si="50"/>
        <v/>
      </c>
      <c r="L739" s="112" t="str">
        <f t="shared" si="51"/>
        <v/>
      </c>
    </row>
    <row r="740" spans="1:12" outlineLevel="1">
      <c r="A740" s="54"/>
      <c r="B740" s="8" t="s">
        <v>259</v>
      </c>
      <c r="C740" s="26" t="s">
        <v>5</v>
      </c>
      <c r="D740" s="27"/>
      <c r="E740" s="113" t="str">
        <f t="shared" si="48"/>
        <v/>
      </c>
      <c r="F740" s="34" t="str">
        <f t="shared" si="49"/>
        <v/>
      </c>
      <c r="G740" s="14"/>
      <c r="H740" s="57"/>
      <c r="I740" s="111"/>
      <c r="J740" s="111"/>
      <c r="K740" s="112" t="str">
        <f t="shared" si="50"/>
        <v/>
      </c>
      <c r="L740" s="112" t="str">
        <f t="shared" si="51"/>
        <v/>
      </c>
    </row>
    <row r="741" spans="1:12" outlineLevel="1">
      <c r="A741" s="54"/>
      <c r="B741" s="8" t="s">
        <v>429</v>
      </c>
      <c r="C741" s="26" t="s">
        <v>5</v>
      </c>
      <c r="D741" s="27"/>
      <c r="E741" s="113" t="str">
        <f t="shared" si="48"/>
        <v/>
      </c>
      <c r="F741" s="34" t="str">
        <f t="shared" si="49"/>
        <v/>
      </c>
      <c r="G741" s="14"/>
      <c r="H741" s="57"/>
      <c r="I741" s="111"/>
      <c r="J741" s="111"/>
      <c r="K741" s="112" t="str">
        <f t="shared" si="50"/>
        <v/>
      </c>
      <c r="L741" s="112" t="str">
        <f t="shared" si="51"/>
        <v/>
      </c>
    </row>
    <row r="742" spans="1:12" outlineLevel="1">
      <c r="A742" s="54"/>
      <c r="B742" s="8" t="s">
        <v>260</v>
      </c>
      <c r="C742" s="26" t="s">
        <v>5</v>
      </c>
      <c r="D742" s="27"/>
      <c r="E742" s="113" t="str">
        <f t="shared" si="48"/>
        <v/>
      </c>
      <c r="F742" s="34" t="str">
        <f t="shared" si="49"/>
        <v/>
      </c>
      <c r="G742" s="14"/>
      <c r="H742" s="57"/>
      <c r="I742" s="111"/>
      <c r="J742" s="111"/>
      <c r="K742" s="112" t="str">
        <f t="shared" si="50"/>
        <v/>
      </c>
      <c r="L742" s="112" t="str">
        <f t="shared" si="51"/>
        <v/>
      </c>
    </row>
    <row r="743" spans="1:12" outlineLevel="1">
      <c r="A743" s="54"/>
      <c r="B743" s="8" t="s">
        <v>430</v>
      </c>
      <c r="C743" s="26" t="s">
        <v>26</v>
      </c>
      <c r="D743" s="27"/>
      <c r="E743" s="113" t="str">
        <f t="shared" si="48"/>
        <v/>
      </c>
      <c r="F743" s="34" t="str">
        <f t="shared" si="49"/>
        <v/>
      </c>
      <c r="G743" s="14"/>
      <c r="H743" s="57"/>
      <c r="I743" s="111"/>
      <c r="J743" s="111"/>
      <c r="K743" s="112" t="str">
        <f t="shared" si="50"/>
        <v/>
      </c>
      <c r="L743" s="112" t="str">
        <f t="shared" si="51"/>
        <v/>
      </c>
    </row>
    <row r="744" spans="1:12" outlineLevel="1">
      <c r="A744" s="54"/>
      <c r="B744" s="8" t="s">
        <v>262</v>
      </c>
      <c r="C744" s="26" t="s">
        <v>5</v>
      </c>
      <c r="D744" s="27"/>
      <c r="E744" s="113" t="str">
        <f t="shared" si="48"/>
        <v/>
      </c>
      <c r="F744" s="34" t="str">
        <f t="shared" si="49"/>
        <v/>
      </c>
      <c r="G744" s="14"/>
      <c r="H744" s="57"/>
      <c r="I744" s="111"/>
      <c r="J744" s="111"/>
      <c r="K744" s="112" t="str">
        <f t="shared" si="50"/>
        <v/>
      </c>
      <c r="L744" s="112" t="str">
        <f t="shared" si="51"/>
        <v/>
      </c>
    </row>
    <row r="745" spans="1:12" outlineLevel="1">
      <c r="A745" s="54"/>
      <c r="B745" s="8" t="s">
        <v>330</v>
      </c>
      <c r="C745" s="26" t="s">
        <v>5</v>
      </c>
      <c r="D745" s="27"/>
      <c r="E745" s="113" t="str">
        <f t="shared" si="48"/>
        <v/>
      </c>
      <c r="F745" s="34" t="str">
        <f t="shared" si="49"/>
        <v/>
      </c>
      <c r="G745" s="14"/>
      <c r="H745" s="57"/>
      <c r="I745" s="111"/>
      <c r="J745" s="111"/>
      <c r="K745" s="112" t="str">
        <f t="shared" si="50"/>
        <v/>
      </c>
      <c r="L745" s="112" t="str">
        <f t="shared" si="51"/>
        <v/>
      </c>
    </row>
    <row r="746" spans="1:12" outlineLevel="1">
      <c r="A746" s="54"/>
      <c r="B746" s="8" t="s">
        <v>261</v>
      </c>
      <c r="C746" s="26" t="s">
        <v>3</v>
      </c>
      <c r="D746" s="27"/>
      <c r="E746" s="113" t="str">
        <f t="shared" si="48"/>
        <v/>
      </c>
      <c r="F746" s="34" t="str">
        <f t="shared" si="49"/>
        <v/>
      </c>
      <c r="G746" s="14"/>
      <c r="H746" s="57"/>
      <c r="I746" s="111"/>
      <c r="J746" s="111"/>
      <c r="K746" s="112" t="str">
        <f t="shared" si="50"/>
        <v/>
      </c>
      <c r="L746" s="112" t="str">
        <f t="shared" si="51"/>
        <v/>
      </c>
    </row>
    <row r="747" spans="1:12" outlineLevel="1">
      <c r="A747" s="54"/>
      <c r="B747" s="8" t="s">
        <v>343</v>
      </c>
      <c r="C747" s="26" t="s">
        <v>5</v>
      </c>
      <c r="D747" s="27"/>
      <c r="E747" s="113" t="str">
        <f t="shared" si="48"/>
        <v/>
      </c>
      <c r="F747" s="34" t="str">
        <f t="shared" si="49"/>
        <v/>
      </c>
      <c r="G747" s="14"/>
      <c r="H747" s="57"/>
      <c r="I747" s="111"/>
      <c r="J747" s="111"/>
      <c r="K747" s="112" t="str">
        <f t="shared" si="50"/>
        <v/>
      </c>
      <c r="L747" s="112" t="str">
        <f t="shared" si="51"/>
        <v/>
      </c>
    </row>
    <row r="748" spans="1:12" outlineLevel="1">
      <c r="A748" s="54"/>
      <c r="B748" s="8" t="s">
        <v>263</v>
      </c>
      <c r="C748" s="26" t="s">
        <v>3</v>
      </c>
      <c r="D748" s="27"/>
      <c r="E748" s="113" t="str">
        <f t="shared" ref="E748:E786" si="52">IF(D748="","",(((K748*$L$2)+(L748*$J$2*$J$3))*$L$3)/D748)</f>
        <v/>
      </c>
      <c r="F748" s="34" t="str">
        <f t="shared" ref="F748:F786" si="53">IF(D748="","",D748*E748)</f>
        <v/>
      </c>
      <c r="G748" s="14"/>
      <c r="H748" s="57"/>
      <c r="I748" s="111"/>
      <c r="J748" s="111"/>
      <c r="K748" s="112" t="str">
        <f t="shared" ref="K748:K786" si="54">IF(D748="","",I748*D748)</f>
        <v/>
      </c>
      <c r="L748" s="112" t="str">
        <f t="shared" ref="L748:L786" si="55">IF(D748="","",D748*J748)</f>
        <v/>
      </c>
    </row>
    <row r="749" spans="1:12" outlineLevel="1">
      <c r="A749" s="54"/>
      <c r="B749" s="8" t="s">
        <v>404</v>
      </c>
      <c r="C749" s="26" t="s">
        <v>3</v>
      </c>
      <c r="D749" s="27"/>
      <c r="E749" s="113" t="str">
        <f t="shared" si="52"/>
        <v/>
      </c>
      <c r="F749" s="34" t="str">
        <f t="shared" si="53"/>
        <v/>
      </c>
      <c r="G749" s="14"/>
      <c r="H749" s="57"/>
      <c r="I749" s="111"/>
      <c r="J749" s="111"/>
      <c r="K749" s="112" t="str">
        <f t="shared" si="54"/>
        <v/>
      </c>
      <c r="L749" s="112" t="str">
        <f t="shared" si="55"/>
        <v/>
      </c>
    </row>
    <row r="750" spans="1:12" outlineLevel="1">
      <c r="A750" s="54"/>
      <c r="B750" s="8" t="s">
        <v>326</v>
      </c>
      <c r="C750" s="26" t="s">
        <v>3</v>
      </c>
      <c r="D750" s="27"/>
      <c r="E750" s="113" t="str">
        <f t="shared" si="52"/>
        <v/>
      </c>
      <c r="F750" s="34" t="str">
        <f t="shared" si="53"/>
        <v/>
      </c>
      <c r="G750" s="14"/>
      <c r="H750" s="57"/>
      <c r="I750" s="111"/>
      <c r="J750" s="111"/>
      <c r="K750" s="112" t="str">
        <f t="shared" si="54"/>
        <v/>
      </c>
      <c r="L750" s="112" t="str">
        <f t="shared" si="55"/>
        <v/>
      </c>
    </row>
    <row r="751" spans="1:12" outlineLevel="1">
      <c r="A751" s="54"/>
      <c r="B751" s="8"/>
      <c r="C751" s="26"/>
      <c r="D751" s="27"/>
      <c r="E751" s="113" t="str">
        <f t="shared" si="52"/>
        <v/>
      </c>
      <c r="F751" s="34" t="str">
        <f t="shared" si="53"/>
        <v/>
      </c>
      <c r="G751" s="14"/>
      <c r="H751" s="57"/>
      <c r="I751" s="111"/>
      <c r="J751" s="111"/>
      <c r="K751" s="112" t="str">
        <f t="shared" si="54"/>
        <v/>
      </c>
      <c r="L751" s="112" t="str">
        <f t="shared" si="55"/>
        <v/>
      </c>
    </row>
    <row r="752" spans="1:12">
      <c r="A752" s="54" t="s">
        <v>248</v>
      </c>
      <c r="B752" s="76" t="s">
        <v>157</v>
      </c>
      <c r="C752" s="46"/>
      <c r="D752" s="27"/>
      <c r="E752" s="113" t="str">
        <f t="shared" si="52"/>
        <v/>
      </c>
      <c r="F752" s="34" t="str">
        <f t="shared" si="53"/>
        <v/>
      </c>
      <c r="G752" s="14"/>
      <c r="H752" s="57"/>
      <c r="I752" s="111"/>
      <c r="J752" s="111"/>
      <c r="K752" s="112" t="str">
        <f t="shared" si="54"/>
        <v/>
      </c>
      <c r="L752" s="112" t="str">
        <f t="shared" si="55"/>
        <v/>
      </c>
    </row>
    <row r="753" spans="1:12" outlineLevel="1">
      <c r="A753" s="54"/>
      <c r="B753" s="8"/>
      <c r="C753" s="26"/>
      <c r="D753" s="27"/>
      <c r="E753" s="113" t="str">
        <f t="shared" si="52"/>
        <v/>
      </c>
      <c r="F753" s="34" t="str">
        <f t="shared" si="53"/>
        <v/>
      </c>
      <c r="G753" s="14"/>
      <c r="H753" s="57"/>
      <c r="I753" s="111"/>
      <c r="J753" s="111"/>
      <c r="K753" s="112" t="str">
        <f t="shared" si="54"/>
        <v/>
      </c>
      <c r="L753" s="112" t="str">
        <f t="shared" si="55"/>
        <v/>
      </c>
    </row>
    <row r="754" spans="1:12" outlineLevel="1">
      <c r="A754" s="54"/>
      <c r="B754" s="8" t="s">
        <v>318</v>
      </c>
      <c r="C754" s="26" t="s">
        <v>26</v>
      </c>
      <c r="D754" s="27"/>
      <c r="E754" s="113" t="str">
        <f t="shared" si="52"/>
        <v/>
      </c>
      <c r="F754" s="34" t="str">
        <f t="shared" si="53"/>
        <v/>
      </c>
      <c r="G754" s="14"/>
      <c r="H754" s="57"/>
      <c r="I754" s="111"/>
      <c r="J754" s="111"/>
      <c r="K754" s="112" t="str">
        <f t="shared" si="54"/>
        <v/>
      </c>
      <c r="L754" s="112" t="str">
        <f t="shared" si="55"/>
        <v/>
      </c>
    </row>
    <row r="755" spans="1:12" outlineLevel="1">
      <c r="A755" s="54"/>
      <c r="B755" s="8" t="s">
        <v>410</v>
      </c>
      <c r="C755" s="26" t="s">
        <v>5</v>
      </c>
      <c r="D755" s="27"/>
      <c r="E755" s="113" t="str">
        <f t="shared" si="52"/>
        <v/>
      </c>
      <c r="F755" s="34" t="str">
        <f t="shared" si="53"/>
        <v/>
      </c>
      <c r="G755" s="14"/>
      <c r="H755" s="57"/>
      <c r="I755" s="111"/>
      <c r="J755" s="111"/>
      <c r="K755" s="112" t="str">
        <f t="shared" si="54"/>
        <v/>
      </c>
      <c r="L755" s="112" t="str">
        <f t="shared" si="55"/>
        <v/>
      </c>
    </row>
    <row r="756" spans="1:12" outlineLevel="1">
      <c r="A756" s="54"/>
      <c r="B756" s="8" t="s">
        <v>345</v>
      </c>
      <c r="C756" s="26" t="s">
        <v>5</v>
      </c>
      <c r="D756" s="27"/>
      <c r="E756" s="113" t="str">
        <f t="shared" si="52"/>
        <v/>
      </c>
      <c r="F756" s="34" t="str">
        <f t="shared" si="53"/>
        <v/>
      </c>
      <c r="G756" s="14"/>
      <c r="H756" s="57"/>
      <c r="I756" s="111"/>
      <c r="J756" s="111"/>
      <c r="K756" s="112" t="str">
        <f t="shared" si="54"/>
        <v/>
      </c>
      <c r="L756" s="112" t="str">
        <f t="shared" si="55"/>
        <v/>
      </c>
    </row>
    <row r="757" spans="1:12" outlineLevel="1">
      <c r="A757" s="54"/>
      <c r="B757" s="8" t="s">
        <v>409</v>
      </c>
      <c r="C757" s="26" t="s">
        <v>5</v>
      </c>
      <c r="D757" s="27"/>
      <c r="E757" s="113" t="str">
        <f t="shared" si="52"/>
        <v/>
      </c>
      <c r="F757" s="34" t="str">
        <f t="shared" si="53"/>
        <v/>
      </c>
      <c r="G757" s="14"/>
      <c r="H757" s="57"/>
      <c r="I757" s="111"/>
      <c r="J757" s="111"/>
      <c r="K757" s="112" t="str">
        <f t="shared" si="54"/>
        <v/>
      </c>
      <c r="L757" s="112" t="str">
        <f t="shared" si="55"/>
        <v/>
      </c>
    </row>
    <row r="758" spans="1:12" outlineLevel="1">
      <c r="A758" s="54"/>
      <c r="B758" s="8" t="s">
        <v>407</v>
      </c>
      <c r="C758" s="26" t="s">
        <v>5</v>
      </c>
      <c r="D758" s="27"/>
      <c r="E758" s="113" t="str">
        <f t="shared" si="52"/>
        <v/>
      </c>
      <c r="F758" s="34" t="str">
        <f t="shared" si="53"/>
        <v/>
      </c>
      <c r="G758" s="14"/>
      <c r="H758" s="57"/>
      <c r="I758" s="111"/>
      <c r="J758" s="111"/>
      <c r="K758" s="112" t="str">
        <f t="shared" si="54"/>
        <v/>
      </c>
      <c r="L758" s="112" t="str">
        <f t="shared" si="55"/>
        <v/>
      </c>
    </row>
    <row r="759" spans="1:12" outlineLevel="1">
      <c r="A759" s="54"/>
      <c r="B759" s="8" t="s">
        <v>290</v>
      </c>
      <c r="C759" s="26" t="s">
        <v>5</v>
      </c>
      <c r="D759" s="27"/>
      <c r="E759" s="113" t="str">
        <f t="shared" si="52"/>
        <v/>
      </c>
      <c r="F759" s="34" t="str">
        <f t="shared" si="53"/>
        <v/>
      </c>
      <c r="G759" s="14"/>
      <c r="H759" s="57"/>
      <c r="I759" s="111"/>
      <c r="J759" s="111"/>
      <c r="K759" s="112" t="str">
        <f t="shared" si="54"/>
        <v/>
      </c>
      <c r="L759" s="112" t="str">
        <f t="shared" si="55"/>
        <v/>
      </c>
    </row>
    <row r="760" spans="1:12" outlineLevel="1">
      <c r="A760" s="54"/>
      <c r="B760" s="8" t="s">
        <v>319</v>
      </c>
      <c r="C760" s="26" t="s">
        <v>26</v>
      </c>
      <c r="D760" s="27"/>
      <c r="E760" s="113" t="str">
        <f t="shared" si="52"/>
        <v/>
      </c>
      <c r="F760" s="34" t="str">
        <f t="shared" si="53"/>
        <v/>
      </c>
      <c r="G760" s="14"/>
      <c r="H760" s="57"/>
      <c r="I760" s="111"/>
      <c r="J760" s="111"/>
      <c r="K760" s="112" t="str">
        <f t="shared" si="54"/>
        <v/>
      </c>
      <c r="L760" s="112" t="str">
        <f t="shared" si="55"/>
        <v/>
      </c>
    </row>
    <row r="761" spans="1:12" outlineLevel="1">
      <c r="A761" s="54"/>
      <c r="B761" s="8" t="s">
        <v>408</v>
      </c>
      <c r="C761" s="26" t="s">
        <v>5</v>
      </c>
      <c r="D761" s="27"/>
      <c r="E761" s="113" t="str">
        <f t="shared" si="52"/>
        <v/>
      </c>
      <c r="F761" s="34" t="str">
        <f t="shared" si="53"/>
        <v/>
      </c>
      <c r="G761" s="14"/>
      <c r="H761" s="57"/>
      <c r="I761" s="111"/>
      <c r="J761" s="111"/>
      <c r="K761" s="112" t="str">
        <f t="shared" si="54"/>
        <v/>
      </c>
      <c r="L761" s="112" t="str">
        <f t="shared" si="55"/>
        <v/>
      </c>
    </row>
    <row r="762" spans="1:12" ht="31" outlineLevel="1">
      <c r="A762" s="54"/>
      <c r="B762" s="8" t="s">
        <v>155</v>
      </c>
      <c r="C762" s="26" t="s">
        <v>4</v>
      </c>
      <c r="D762" s="27"/>
      <c r="E762" s="113" t="str">
        <f t="shared" si="52"/>
        <v/>
      </c>
      <c r="F762" s="34" t="str">
        <f t="shared" si="53"/>
        <v/>
      </c>
      <c r="G762" s="14"/>
      <c r="H762" s="57"/>
      <c r="I762" s="111"/>
      <c r="J762" s="111"/>
      <c r="K762" s="112" t="str">
        <f t="shared" si="54"/>
        <v/>
      </c>
      <c r="L762" s="112" t="str">
        <f t="shared" si="55"/>
        <v/>
      </c>
    </row>
    <row r="763" spans="1:12" outlineLevel="1">
      <c r="A763" s="54"/>
      <c r="B763" s="8" t="s">
        <v>156</v>
      </c>
      <c r="C763" s="26" t="s">
        <v>3</v>
      </c>
      <c r="D763" s="27"/>
      <c r="E763" s="113" t="str">
        <f t="shared" si="52"/>
        <v/>
      </c>
      <c r="F763" s="34" t="str">
        <f t="shared" si="53"/>
        <v/>
      </c>
      <c r="G763" s="14"/>
      <c r="H763" s="57"/>
      <c r="I763" s="111"/>
      <c r="J763" s="111"/>
      <c r="K763" s="112" t="str">
        <f t="shared" si="54"/>
        <v/>
      </c>
      <c r="L763" s="112" t="str">
        <f t="shared" si="55"/>
        <v/>
      </c>
    </row>
    <row r="764" spans="1:12" outlineLevel="1">
      <c r="A764" s="54"/>
      <c r="B764" s="8"/>
      <c r="C764" s="26"/>
      <c r="D764" s="27"/>
      <c r="E764" s="113" t="str">
        <f t="shared" si="52"/>
        <v/>
      </c>
      <c r="F764" s="34" t="str">
        <f t="shared" si="53"/>
        <v/>
      </c>
      <c r="G764" s="14"/>
      <c r="H764" s="57"/>
      <c r="I764" s="111"/>
      <c r="J764" s="111"/>
      <c r="K764" s="112" t="str">
        <f t="shared" si="54"/>
        <v/>
      </c>
      <c r="L764" s="112" t="str">
        <f t="shared" si="55"/>
        <v/>
      </c>
    </row>
    <row r="765" spans="1:12">
      <c r="A765" s="54" t="s">
        <v>249</v>
      </c>
      <c r="B765" s="76" t="s">
        <v>158</v>
      </c>
      <c r="C765" s="46"/>
      <c r="D765" s="27"/>
      <c r="E765" s="113" t="str">
        <f t="shared" si="52"/>
        <v/>
      </c>
      <c r="F765" s="34" t="str">
        <f t="shared" si="53"/>
        <v/>
      </c>
      <c r="G765" s="14"/>
      <c r="H765" s="57"/>
      <c r="I765" s="111"/>
      <c r="J765" s="111"/>
      <c r="K765" s="112" t="str">
        <f t="shared" si="54"/>
        <v/>
      </c>
      <c r="L765" s="112" t="str">
        <f t="shared" si="55"/>
        <v/>
      </c>
    </row>
    <row r="766" spans="1:12" outlineLevel="1">
      <c r="A766" s="54"/>
      <c r="B766" s="33"/>
      <c r="C766" s="26"/>
      <c r="D766" s="27"/>
      <c r="E766" s="113" t="str">
        <f t="shared" si="52"/>
        <v/>
      </c>
      <c r="F766" s="34" t="str">
        <f t="shared" si="53"/>
        <v/>
      </c>
      <c r="G766" s="14"/>
      <c r="H766" s="57"/>
      <c r="I766" s="111"/>
      <c r="J766" s="111"/>
      <c r="K766" s="112" t="str">
        <f t="shared" si="54"/>
        <v/>
      </c>
      <c r="L766" s="112" t="str">
        <f t="shared" si="55"/>
        <v/>
      </c>
    </row>
    <row r="767" spans="1:12" outlineLevel="1">
      <c r="A767" s="54"/>
      <c r="B767" s="8" t="s">
        <v>159</v>
      </c>
      <c r="C767" s="26" t="s">
        <v>5</v>
      </c>
      <c r="D767" s="27"/>
      <c r="E767" s="113" t="str">
        <f t="shared" si="52"/>
        <v/>
      </c>
      <c r="F767" s="34" t="str">
        <f t="shared" si="53"/>
        <v/>
      </c>
      <c r="G767" s="14"/>
      <c r="H767" s="57"/>
      <c r="I767" s="111"/>
      <c r="J767" s="111"/>
      <c r="K767" s="112" t="str">
        <f t="shared" si="54"/>
        <v/>
      </c>
      <c r="L767" s="112" t="str">
        <f t="shared" si="55"/>
        <v/>
      </c>
    </row>
    <row r="768" spans="1:12" outlineLevel="1">
      <c r="A768" s="54"/>
      <c r="B768" s="8" t="s">
        <v>419</v>
      </c>
      <c r="C768" s="26" t="s">
        <v>5</v>
      </c>
      <c r="D768" s="27"/>
      <c r="E768" s="113" t="str">
        <f t="shared" si="52"/>
        <v/>
      </c>
      <c r="F768" s="34" t="str">
        <f t="shared" si="53"/>
        <v/>
      </c>
      <c r="G768" s="14"/>
      <c r="H768" s="57"/>
      <c r="I768" s="111"/>
      <c r="J768" s="111"/>
      <c r="K768" s="112" t="str">
        <f t="shared" si="54"/>
        <v/>
      </c>
      <c r="L768" s="112" t="str">
        <f t="shared" si="55"/>
        <v/>
      </c>
    </row>
    <row r="769" spans="1:12" outlineLevel="1">
      <c r="A769" s="54"/>
      <c r="B769" s="8" t="s">
        <v>160</v>
      </c>
      <c r="C769" s="26" t="s">
        <v>3</v>
      </c>
      <c r="D769" s="27"/>
      <c r="E769" s="113" t="str">
        <f t="shared" si="52"/>
        <v/>
      </c>
      <c r="F769" s="34" t="str">
        <f t="shared" si="53"/>
        <v/>
      </c>
      <c r="G769" s="14"/>
      <c r="H769" s="57"/>
      <c r="I769" s="111"/>
      <c r="J769" s="111"/>
      <c r="K769" s="112" t="str">
        <f t="shared" si="54"/>
        <v/>
      </c>
      <c r="L769" s="112" t="str">
        <f t="shared" si="55"/>
        <v/>
      </c>
    </row>
    <row r="770" spans="1:12" outlineLevel="1">
      <c r="A770" s="54"/>
      <c r="B770" s="8" t="s">
        <v>161</v>
      </c>
      <c r="C770" s="26" t="s">
        <v>3</v>
      </c>
      <c r="D770" s="27"/>
      <c r="E770" s="113" t="str">
        <f t="shared" si="52"/>
        <v/>
      </c>
      <c r="F770" s="34" t="str">
        <f t="shared" si="53"/>
        <v/>
      </c>
      <c r="G770" s="14"/>
      <c r="H770" s="57"/>
      <c r="I770" s="111"/>
      <c r="J770" s="111"/>
      <c r="K770" s="112" t="str">
        <f t="shared" si="54"/>
        <v/>
      </c>
      <c r="L770" s="112" t="str">
        <f t="shared" si="55"/>
        <v/>
      </c>
    </row>
    <row r="771" spans="1:12" outlineLevel="1">
      <c r="A771" s="54"/>
      <c r="B771" s="8"/>
      <c r="C771" s="26"/>
      <c r="D771" s="27"/>
      <c r="E771" s="113" t="str">
        <f t="shared" si="52"/>
        <v/>
      </c>
      <c r="F771" s="34" t="str">
        <f t="shared" si="53"/>
        <v/>
      </c>
      <c r="G771" s="14"/>
      <c r="H771" s="57"/>
      <c r="I771" s="111"/>
      <c r="J771" s="111"/>
      <c r="K771" s="112" t="str">
        <f t="shared" si="54"/>
        <v/>
      </c>
      <c r="L771" s="112" t="str">
        <f t="shared" si="55"/>
        <v/>
      </c>
    </row>
    <row r="772" spans="1:12">
      <c r="A772" s="54" t="s">
        <v>353</v>
      </c>
      <c r="B772" s="76" t="s">
        <v>171</v>
      </c>
      <c r="C772" s="26"/>
      <c r="D772" s="27"/>
      <c r="E772" s="113" t="str">
        <f t="shared" si="52"/>
        <v/>
      </c>
      <c r="F772" s="34" t="str">
        <f t="shared" si="53"/>
        <v/>
      </c>
      <c r="G772" s="14"/>
      <c r="H772" s="57"/>
      <c r="I772" s="111"/>
      <c r="J772" s="111"/>
      <c r="K772" s="112" t="str">
        <f t="shared" si="54"/>
        <v/>
      </c>
      <c r="L772" s="112" t="str">
        <f t="shared" si="55"/>
        <v/>
      </c>
    </row>
    <row r="773" spans="1:12" outlineLevel="1">
      <c r="A773" s="54"/>
      <c r="B773" s="33"/>
      <c r="C773" s="26"/>
      <c r="D773" s="27"/>
      <c r="E773" s="113" t="str">
        <f t="shared" si="52"/>
        <v/>
      </c>
      <c r="F773" s="34" t="str">
        <f t="shared" si="53"/>
        <v/>
      </c>
      <c r="G773" s="14"/>
      <c r="H773" s="57"/>
      <c r="I773" s="111"/>
      <c r="J773" s="111"/>
      <c r="K773" s="112" t="str">
        <f t="shared" si="54"/>
        <v/>
      </c>
      <c r="L773" s="112" t="str">
        <f t="shared" si="55"/>
        <v/>
      </c>
    </row>
    <row r="774" spans="1:12" outlineLevel="1">
      <c r="A774" s="54"/>
      <c r="B774" s="8" t="s">
        <v>162</v>
      </c>
      <c r="C774" s="26" t="s">
        <v>5</v>
      </c>
      <c r="D774" s="27"/>
      <c r="E774" s="113" t="str">
        <f t="shared" si="52"/>
        <v/>
      </c>
      <c r="F774" s="34" t="str">
        <f t="shared" si="53"/>
        <v/>
      </c>
      <c r="G774" s="14"/>
      <c r="H774" s="57"/>
      <c r="I774" s="111"/>
      <c r="J774" s="111"/>
      <c r="K774" s="112" t="str">
        <f t="shared" si="54"/>
        <v/>
      </c>
      <c r="L774" s="112" t="str">
        <f t="shared" si="55"/>
        <v/>
      </c>
    </row>
    <row r="775" spans="1:12" outlineLevel="1">
      <c r="A775" s="54"/>
      <c r="B775" s="8" t="s">
        <v>194</v>
      </c>
      <c r="C775" s="26" t="s">
        <v>26</v>
      </c>
      <c r="D775" s="27"/>
      <c r="E775" s="113" t="str">
        <f t="shared" si="52"/>
        <v/>
      </c>
      <c r="F775" s="34" t="str">
        <f t="shared" si="53"/>
        <v/>
      </c>
      <c r="G775" s="14"/>
      <c r="H775" s="57"/>
      <c r="I775" s="111"/>
      <c r="J775" s="111"/>
      <c r="K775" s="112" t="str">
        <f t="shared" si="54"/>
        <v/>
      </c>
      <c r="L775" s="112" t="str">
        <f t="shared" si="55"/>
        <v/>
      </c>
    </row>
    <row r="776" spans="1:12" outlineLevel="1">
      <c r="A776" s="54"/>
      <c r="B776" s="8" t="s">
        <v>163</v>
      </c>
      <c r="C776" s="26" t="s">
        <v>5</v>
      </c>
      <c r="D776" s="27"/>
      <c r="E776" s="113" t="str">
        <f t="shared" si="52"/>
        <v/>
      </c>
      <c r="F776" s="34" t="str">
        <f t="shared" si="53"/>
        <v/>
      </c>
      <c r="G776" s="14"/>
      <c r="H776" s="57"/>
      <c r="I776" s="111"/>
      <c r="J776" s="111"/>
      <c r="K776" s="112" t="str">
        <f t="shared" si="54"/>
        <v/>
      </c>
      <c r="L776" s="112" t="str">
        <f t="shared" si="55"/>
        <v/>
      </c>
    </row>
    <row r="777" spans="1:12" outlineLevel="1">
      <c r="A777" s="54"/>
      <c r="B777" s="8" t="s">
        <v>164</v>
      </c>
      <c r="C777" s="26" t="s">
        <v>5</v>
      </c>
      <c r="D777" s="27"/>
      <c r="E777" s="113" t="str">
        <f t="shared" si="52"/>
        <v/>
      </c>
      <c r="F777" s="34" t="str">
        <f t="shared" si="53"/>
        <v/>
      </c>
      <c r="G777" s="14"/>
      <c r="H777" s="57"/>
      <c r="I777" s="111"/>
      <c r="J777" s="111"/>
      <c r="K777" s="112" t="str">
        <f t="shared" si="54"/>
        <v/>
      </c>
      <c r="L777" s="112" t="str">
        <f t="shared" si="55"/>
        <v/>
      </c>
    </row>
    <row r="778" spans="1:12" outlineLevel="1">
      <c r="A778" s="54"/>
      <c r="B778" s="8" t="s">
        <v>366</v>
      </c>
      <c r="C778" s="26" t="s">
        <v>5</v>
      </c>
      <c r="D778" s="27"/>
      <c r="E778" s="113" t="str">
        <f t="shared" si="52"/>
        <v/>
      </c>
      <c r="F778" s="34" t="str">
        <f t="shared" si="53"/>
        <v/>
      </c>
      <c r="G778" s="14"/>
      <c r="H778" s="57"/>
      <c r="I778" s="111"/>
      <c r="J778" s="111"/>
      <c r="K778" s="112" t="str">
        <f t="shared" si="54"/>
        <v/>
      </c>
      <c r="L778" s="112" t="str">
        <f t="shared" si="55"/>
        <v/>
      </c>
    </row>
    <row r="779" spans="1:12" outlineLevel="1">
      <c r="A779" s="54"/>
      <c r="B779" s="8" t="s">
        <v>289</v>
      </c>
      <c r="C779" s="26" t="s">
        <v>5</v>
      </c>
      <c r="D779" s="27"/>
      <c r="E779" s="113" t="str">
        <f t="shared" si="52"/>
        <v/>
      </c>
      <c r="F779" s="34" t="str">
        <f t="shared" si="53"/>
        <v/>
      </c>
      <c r="G779" s="14"/>
      <c r="H779" s="57"/>
      <c r="I779" s="111"/>
      <c r="J779" s="111"/>
      <c r="K779" s="112" t="str">
        <f t="shared" si="54"/>
        <v/>
      </c>
      <c r="L779" s="112" t="str">
        <f t="shared" si="55"/>
        <v/>
      </c>
    </row>
    <row r="780" spans="1:12" outlineLevel="1">
      <c r="A780" s="54"/>
      <c r="B780" s="8" t="s">
        <v>165</v>
      </c>
      <c r="C780" s="26" t="s">
        <v>5</v>
      </c>
      <c r="D780" s="27"/>
      <c r="E780" s="113" t="str">
        <f t="shared" si="52"/>
        <v/>
      </c>
      <c r="F780" s="34" t="str">
        <f t="shared" si="53"/>
        <v/>
      </c>
      <c r="G780" s="14"/>
      <c r="H780" s="57"/>
      <c r="I780" s="111"/>
      <c r="J780" s="111"/>
      <c r="K780" s="112" t="str">
        <f t="shared" si="54"/>
        <v/>
      </c>
      <c r="L780" s="112" t="str">
        <f t="shared" si="55"/>
        <v/>
      </c>
    </row>
    <row r="781" spans="1:12" outlineLevel="1">
      <c r="A781" s="54"/>
      <c r="B781" s="8" t="s">
        <v>166</v>
      </c>
      <c r="C781" s="26" t="s">
        <v>4</v>
      </c>
      <c r="D781" s="27"/>
      <c r="E781" s="113" t="str">
        <f t="shared" si="52"/>
        <v/>
      </c>
      <c r="F781" s="34" t="str">
        <f t="shared" si="53"/>
        <v/>
      </c>
      <c r="G781" s="14"/>
      <c r="H781" s="57"/>
      <c r="I781" s="111"/>
      <c r="J781" s="111"/>
      <c r="K781" s="112" t="str">
        <f t="shared" si="54"/>
        <v/>
      </c>
      <c r="L781" s="112" t="str">
        <f t="shared" si="55"/>
        <v/>
      </c>
    </row>
    <row r="782" spans="1:12" outlineLevel="1">
      <c r="A782" s="54"/>
      <c r="B782" s="8" t="s">
        <v>167</v>
      </c>
      <c r="C782" s="26" t="s">
        <v>3</v>
      </c>
      <c r="D782" s="27"/>
      <c r="E782" s="113" t="str">
        <f t="shared" si="52"/>
        <v/>
      </c>
      <c r="F782" s="34" t="str">
        <f t="shared" si="53"/>
        <v/>
      </c>
      <c r="G782" s="14"/>
      <c r="H782" s="57"/>
      <c r="I782" s="111"/>
      <c r="J782" s="111"/>
      <c r="K782" s="112" t="str">
        <f t="shared" si="54"/>
        <v/>
      </c>
      <c r="L782" s="112" t="str">
        <f t="shared" si="55"/>
        <v/>
      </c>
    </row>
    <row r="783" spans="1:12" outlineLevel="1">
      <c r="A783" s="54"/>
      <c r="B783" s="8" t="s">
        <v>168</v>
      </c>
      <c r="C783" s="26" t="s">
        <v>3</v>
      </c>
      <c r="D783" s="27"/>
      <c r="E783" s="113" t="str">
        <f t="shared" si="52"/>
        <v/>
      </c>
      <c r="F783" s="34" t="str">
        <f t="shared" si="53"/>
        <v/>
      </c>
      <c r="G783" s="14"/>
      <c r="H783" s="57"/>
      <c r="I783" s="111"/>
      <c r="J783" s="111"/>
      <c r="K783" s="112" t="str">
        <f t="shared" si="54"/>
        <v/>
      </c>
      <c r="L783" s="112" t="str">
        <f t="shared" si="55"/>
        <v/>
      </c>
    </row>
    <row r="784" spans="1:12" outlineLevel="1">
      <c r="A784" s="54"/>
      <c r="B784" s="8" t="s">
        <v>169</v>
      </c>
      <c r="C784" s="26" t="s">
        <v>26</v>
      </c>
      <c r="D784" s="27"/>
      <c r="E784" s="113" t="str">
        <f t="shared" si="52"/>
        <v/>
      </c>
      <c r="F784" s="34" t="str">
        <f t="shared" si="53"/>
        <v/>
      </c>
      <c r="G784" s="14"/>
      <c r="H784" s="57"/>
      <c r="I784" s="111"/>
      <c r="J784" s="111"/>
      <c r="K784" s="112" t="str">
        <f t="shared" si="54"/>
        <v/>
      </c>
      <c r="L784" s="112" t="str">
        <f t="shared" si="55"/>
        <v/>
      </c>
    </row>
    <row r="785" spans="1:12" outlineLevel="1">
      <c r="A785" s="54"/>
      <c r="B785" s="8" t="s">
        <v>170</v>
      </c>
      <c r="C785" s="26" t="s">
        <v>3</v>
      </c>
      <c r="D785" s="27"/>
      <c r="E785" s="113" t="str">
        <f t="shared" si="52"/>
        <v/>
      </c>
      <c r="F785" s="34" t="str">
        <f t="shared" si="53"/>
        <v/>
      </c>
      <c r="G785" s="14"/>
      <c r="H785" s="57"/>
      <c r="I785" s="111"/>
      <c r="J785" s="111"/>
      <c r="K785" s="112" t="str">
        <f t="shared" si="54"/>
        <v/>
      </c>
      <c r="L785" s="112" t="str">
        <f t="shared" si="55"/>
        <v/>
      </c>
    </row>
    <row r="786" spans="1:12" outlineLevel="1">
      <c r="A786" s="54"/>
      <c r="B786" s="8" t="s">
        <v>161</v>
      </c>
      <c r="C786" s="26" t="s">
        <v>3</v>
      </c>
      <c r="D786" s="27"/>
      <c r="E786" s="113" t="str">
        <f t="shared" si="52"/>
        <v/>
      </c>
      <c r="F786" s="34" t="str">
        <f t="shared" si="53"/>
        <v/>
      </c>
      <c r="G786" s="14"/>
      <c r="H786" s="57"/>
      <c r="I786" s="111"/>
      <c r="J786" s="111"/>
      <c r="K786" s="112" t="str">
        <f t="shared" si="54"/>
        <v/>
      </c>
      <c r="L786" s="112" t="str">
        <f t="shared" si="55"/>
        <v/>
      </c>
    </row>
    <row r="787" spans="1:12" ht="16" thickBot="1">
      <c r="A787" s="65"/>
      <c r="B787" s="24"/>
      <c r="C787" s="46"/>
      <c r="D787" s="31"/>
      <c r="E787" s="9"/>
      <c r="F787" s="34"/>
      <c r="G787" s="14"/>
      <c r="H787" s="57"/>
      <c r="I787" s="111"/>
      <c r="J787" s="111"/>
      <c r="K787" s="112"/>
      <c r="L787" s="112"/>
    </row>
    <row r="788" spans="1:12" ht="31.5" thickBot="1">
      <c r="A788" s="58">
        <v>6</v>
      </c>
      <c r="B788" s="59" t="s">
        <v>367</v>
      </c>
      <c r="C788" s="68"/>
      <c r="D788" s="69"/>
      <c r="E788" s="62"/>
      <c r="F788" s="62"/>
      <c r="G788" s="63"/>
      <c r="H788" s="64"/>
      <c r="I788" s="111"/>
      <c r="J788" s="111"/>
      <c r="K788" s="112"/>
      <c r="L788" s="112"/>
    </row>
    <row r="789" spans="1:12">
      <c r="A789" s="54"/>
      <c r="B789" s="8"/>
      <c r="C789" s="26"/>
      <c r="D789" s="31"/>
      <c r="E789" s="9"/>
      <c r="F789" s="34"/>
      <c r="G789" s="14"/>
      <c r="H789" s="57"/>
      <c r="I789" s="111"/>
      <c r="J789" s="111"/>
      <c r="K789" s="112"/>
      <c r="L789" s="112"/>
    </row>
    <row r="790" spans="1:12">
      <c r="A790" s="54" t="s">
        <v>356</v>
      </c>
      <c r="B790" s="76" t="s">
        <v>370</v>
      </c>
      <c r="C790" s="26"/>
      <c r="D790" s="27"/>
      <c r="E790" s="113" t="str">
        <f t="shared" ref="E790:E799" si="56">IF(D790="","",(((K790*$L$2)+(L790*$J$2*$J$3))*$L$3)/D790)</f>
        <v/>
      </c>
      <c r="F790" s="34" t="str">
        <f t="shared" ref="F790:F799" si="57">IF(D790="","",D790*E790)</f>
        <v/>
      </c>
      <c r="G790" s="14"/>
      <c r="H790" s="57"/>
      <c r="I790" s="111"/>
      <c r="J790" s="111"/>
      <c r="K790" s="112" t="str">
        <f t="shared" ref="K790:K799" si="58">IF(D790="","",I790*D790)</f>
        <v/>
      </c>
      <c r="L790" s="112" t="str">
        <f t="shared" ref="L790:L799" si="59">IF(D790="","",D790*J790)</f>
        <v/>
      </c>
    </row>
    <row r="791" spans="1:12" outlineLevel="1">
      <c r="A791" s="54"/>
      <c r="B791" s="76"/>
      <c r="C791" s="26"/>
      <c r="D791" s="27"/>
      <c r="E791" s="113" t="str">
        <f t="shared" si="56"/>
        <v/>
      </c>
      <c r="F791" s="34" t="str">
        <f t="shared" si="57"/>
        <v/>
      </c>
      <c r="G791" s="14"/>
      <c r="H791" s="57"/>
      <c r="I791" s="111"/>
      <c r="J791" s="111"/>
      <c r="K791" s="112" t="str">
        <f t="shared" si="58"/>
        <v/>
      </c>
      <c r="L791" s="112" t="str">
        <f t="shared" si="59"/>
        <v/>
      </c>
    </row>
    <row r="792" spans="1:12" outlineLevel="1">
      <c r="A792" s="54"/>
      <c r="B792" s="8" t="s">
        <v>354</v>
      </c>
      <c r="C792" s="26" t="s">
        <v>3</v>
      </c>
      <c r="D792" s="27"/>
      <c r="E792" s="113" t="str">
        <f t="shared" si="56"/>
        <v/>
      </c>
      <c r="F792" s="34" t="str">
        <f t="shared" si="57"/>
        <v/>
      </c>
      <c r="G792" s="14"/>
      <c r="H792" s="57"/>
      <c r="I792" s="111"/>
      <c r="J792" s="111"/>
      <c r="K792" s="112" t="str">
        <f t="shared" si="58"/>
        <v/>
      </c>
      <c r="L792" s="112" t="str">
        <f t="shared" si="59"/>
        <v/>
      </c>
    </row>
    <row r="793" spans="1:12" outlineLevel="1">
      <c r="A793" s="54"/>
      <c r="B793" s="8" t="s">
        <v>355</v>
      </c>
      <c r="C793" s="26" t="s">
        <v>3</v>
      </c>
      <c r="D793" s="27"/>
      <c r="E793" s="113" t="str">
        <f t="shared" si="56"/>
        <v/>
      </c>
      <c r="F793" s="34" t="str">
        <f t="shared" si="57"/>
        <v/>
      </c>
      <c r="G793" s="14"/>
      <c r="H793" s="57"/>
      <c r="I793" s="111"/>
      <c r="J793" s="111"/>
      <c r="K793" s="112" t="str">
        <f t="shared" si="58"/>
        <v/>
      </c>
      <c r="L793" s="112" t="str">
        <f t="shared" si="59"/>
        <v/>
      </c>
    </row>
    <row r="794" spans="1:12" outlineLevel="1">
      <c r="A794" s="54"/>
      <c r="B794" s="8" t="s">
        <v>368</v>
      </c>
      <c r="C794" s="26" t="s">
        <v>3</v>
      </c>
      <c r="D794" s="27"/>
      <c r="E794" s="113" t="str">
        <f t="shared" si="56"/>
        <v/>
      </c>
      <c r="F794" s="34" t="str">
        <f t="shared" si="57"/>
        <v/>
      </c>
      <c r="G794" s="14"/>
      <c r="H794" s="57"/>
      <c r="I794" s="111"/>
      <c r="J794" s="111"/>
      <c r="K794" s="112" t="str">
        <f t="shared" si="58"/>
        <v/>
      </c>
      <c r="L794" s="112" t="str">
        <f t="shared" si="59"/>
        <v/>
      </c>
    </row>
    <row r="795" spans="1:12" outlineLevel="1">
      <c r="A795" s="54"/>
      <c r="B795" s="8" t="s">
        <v>369</v>
      </c>
      <c r="C795" s="26" t="s">
        <v>3</v>
      </c>
      <c r="D795" s="27"/>
      <c r="E795" s="113" t="str">
        <f t="shared" si="56"/>
        <v/>
      </c>
      <c r="F795" s="34" t="str">
        <f t="shared" si="57"/>
        <v/>
      </c>
      <c r="G795" s="14"/>
      <c r="H795" s="57"/>
      <c r="I795" s="111"/>
      <c r="J795" s="111"/>
      <c r="K795" s="112" t="str">
        <f t="shared" si="58"/>
        <v/>
      </c>
      <c r="L795" s="112" t="str">
        <f t="shared" si="59"/>
        <v/>
      </c>
    </row>
    <row r="796" spans="1:12" outlineLevel="1">
      <c r="A796" s="54"/>
      <c r="B796" s="8" t="s">
        <v>401</v>
      </c>
      <c r="C796" s="26" t="s">
        <v>5</v>
      </c>
      <c r="D796" s="27"/>
      <c r="E796" s="113" t="str">
        <f t="shared" si="56"/>
        <v/>
      </c>
      <c r="F796" s="34" t="str">
        <f t="shared" si="57"/>
        <v/>
      </c>
      <c r="G796" s="14"/>
      <c r="H796" s="57"/>
      <c r="I796" s="111"/>
      <c r="J796" s="111"/>
      <c r="K796" s="112" t="str">
        <f t="shared" si="58"/>
        <v/>
      </c>
      <c r="L796" s="112" t="str">
        <f t="shared" si="59"/>
        <v/>
      </c>
    </row>
    <row r="797" spans="1:12" outlineLevel="1">
      <c r="A797" s="54"/>
      <c r="B797" s="8" t="s">
        <v>402</v>
      </c>
      <c r="C797" s="26" t="s">
        <v>5</v>
      </c>
      <c r="D797" s="27"/>
      <c r="E797" s="113" t="str">
        <f t="shared" si="56"/>
        <v/>
      </c>
      <c r="F797" s="34" t="str">
        <f t="shared" si="57"/>
        <v/>
      </c>
      <c r="G797" s="14"/>
      <c r="H797" s="57"/>
      <c r="I797" s="111"/>
      <c r="J797" s="111"/>
      <c r="K797" s="112" t="str">
        <f t="shared" si="58"/>
        <v/>
      </c>
      <c r="L797" s="112" t="str">
        <f t="shared" si="59"/>
        <v/>
      </c>
    </row>
    <row r="798" spans="1:12" outlineLevel="1">
      <c r="A798" s="54"/>
      <c r="B798" s="22" t="s">
        <v>56</v>
      </c>
      <c r="C798" s="46" t="s">
        <v>4</v>
      </c>
      <c r="D798" s="27"/>
      <c r="E798" s="113" t="str">
        <f t="shared" si="56"/>
        <v/>
      </c>
      <c r="F798" s="34" t="str">
        <f t="shared" si="57"/>
        <v/>
      </c>
      <c r="G798" s="14"/>
      <c r="H798" s="57"/>
      <c r="I798" s="111"/>
      <c r="J798" s="111"/>
      <c r="K798" s="112" t="str">
        <f t="shared" si="58"/>
        <v/>
      </c>
      <c r="L798" s="112" t="str">
        <f t="shared" si="59"/>
        <v/>
      </c>
    </row>
    <row r="799" spans="1:12" outlineLevel="1">
      <c r="A799" s="54"/>
      <c r="B799" s="8" t="s">
        <v>373</v>
      </c>
      <c r="C799" s="26" t="s">
        <v>3</v>
      </c>
      <c r="D799" s="27"/>
      <c r="E799" s="113" t="str">
        <f t="shared" si="56"/>
        <v/>
      </c>
      <c r="F799" s="34" t="str">
        <f t="shared" si="57"/>
        <v/>
      </c>
      <c r="G799" s="14"/>
      <c r="H799" s="57"/>
      <c r="I799" s="111"/>
      <c r="J799" s="111"/>
      <c r="K799" s="112" t="str">
        <f t="shared" si="58"/>
        <v/>
      </c>
      <c r="L799" s="112" t="str">
        <f t="shared" si="59"/>
        <v/>
      </c>
    </row>
    <row r="800" spans="1:12" s="38" customFormat="1" ht="16" thickBot="1">
      <c r="A800" s="79"/>
      <c r="B800" s="45"/>
      <c r="C800" s="36"/>
      <c r="D800" s="39"/>
      <c r="E800" s="37"/>
      <c r="F800" s="37"/>
      <c r="G800" s="37"/>
      <c r="H800" s="80"/>
      <c r="I800" s="111"/>
      <c r="J800" s="111"/>
      <c r="K800" s="112"/>
      <c r="L800" s="112"/>
    </row>
    <row r="801" spans="1:10" s="7" customFormat="1" ht="37.5" customHeight="1" thickBot="1">
      <c r="A801" s="81"/>
      <c r="B801" s="120" t="s">
        <v>364</v>
      </c>
      <c r="C801" s="120"/>
      <c r="D801" s="121"/>
      <c r="E801" s="82"/>
      <c r="F801" s="83"/>
      <c r="G801" s="84"/>
      <c r="H801" s="85"/>
    </row>
    <row r="802" spans="1:10" s="6" customFormat="1" ht="16" thickBot="1">
      <c r="A802" s="86"/>
      <c r="B802" s="30" t="s">
        <v>14</v>
      </c>
      <c r="C802" s="28"/>
      <c r="D802" s="28"/>
      <c r="E802" s="82"/>
      <c r="F802" s="83"/>
      <c r="G802" s="84"/>
      <c r="H802" s="85"/>
      <c r="J802" s="7"/>
    </row>
    <row r="803" spans="1:10" ht="37.5" customHeight="1" thickBot="1">
      <c r="A803" s="87"/>
      <c r="B803" s="122" t="s">
        <v>365</v>
      </c>
      <c r="C803" s="122"/>
      <c r="D803" s="123"/>
      <c r="E803" s="88"/>
      <c r="F803" s="89"/>
      <c r="G803" s="90"/>
      <c r="H803" s="91"/>
    </row>
    <row r="808" spans="1:10">
      <c r="A808" s="5"/>
      <c r="B808" s="5"/>
      <c r="C808" s="5"/>
      <c r="D808" s="5"/>
      <c r="E808" s="5"/>
      <c r="F808" s="5"/>
      <c r="G808" s="29"/>
      <c r="H808" s="5"/>
      <c r="J808" s="5"/>
    </row>
  </sheetData>
  <mergeCells count="4">
    <mergeCell ref="A13:H13"/>
    <mergeCell ref="A14:H14"/>
    <mergeCell ref="B801:D801"/>
    <mergeCell ref="B803:D803"/>
  </mergeCells>
  <phoneticPr fontId="0" type="noConversion"/>
  <conditionalFormatting sqref="I4 K4:L4 J1:L1 I2:L3">
    <cfRule type="cellIs" dxfId="0" priority="1" stopIfTrue="1" operator="lessThan">
      <formula>0</formula>
    </cfRule>
  </conditionalFormatting>
  <printOptions horizontalCentered="1"/>
  <pageMargins left="0.39370078740157483" right="0.39370078740157483" top="0.78740157480314965" bottom="1.1811023622047245" header="0.39370078740157483" footer="0.39370078740157483"/>
  <pageSetup paperSize="9" scale="56" fitToHeight="25" orientation="portrait" useFirstPageNumber="1" horizontalDpi="300" verticalDpi="300" r:id="rId1"/>
  <headerFooter alignWithMargins="0">
    <oddHeader xml:space="preserve">&amp;L&amp;"Arial Narrow,Normal"Chapelle international lot F&amp;R&amp;"Arial Narrow,Normal"CDPGF - CORPS D'ETAT 11 ELECTRICITE CFO/CFA </oddHeader>
    <oddFooter xml:space="preserve">&amp;L&amp;"Arial Narrow,Normal"BET Espace Temps
11 rue des petites écuries 75010 PARIS 
Tél 01 40 24 04 20 - Fax 01 40 24 04 29
bet@espace-temps.fr&amp;R&amp;"Arial Narrow,Normal"&amp;D - Page &amp;P/&amp;N&amp;9
</oddFooter>
  </headerFooter>
  <rowBreaks count="1" manualBreakCount="1">
    <brk id="727" max="14" man="1"/>
  </rowBreak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3</vt:i4>
      </vt:variant>
    </vt:vector>
  </HeadingPairs>
  <TitlesOfParts>
    <vt:vector size="4" baseType="lpstr">
      <vt:lpstr>CDPGF LOT 11 ELECTRICITE</vt:lpstr>
      <vt:lpstr>Excel_BuiltIn_Print_Area_1_1</vt:lpstr>
      <vt:lpstr>'CDPGF LOT 11 ELECTRICITE'!Impression_des_titres</vt:lpstr>
      <vt:lpstr>'CDPGF LOT 11 ELECTRICITE'!Zone_d_impression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ESPACE  TEMPS</dc:creator>
  <cp:lastModifiedBy>Patrice Ongla - Perso</cp:lastModifiedBy>
  <cp:revision>1</cp:revision>
  <cp:lastPrinted>2016-05-18T21:24:56Z</cp:lastPrinted>
  <dcterms:created xsi:type="dcterms:W3CDTF">2001-02-27T14:58:24Z</dcterms:created>
  <dcterms:modified xsi:type="dcterms:W3CDTF">2016-07-12T21:00:08Z</dcterms:modified>
</cp:coreProperties>
</file>